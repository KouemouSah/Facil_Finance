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" sheetId="1" state="visible" r:id="rId1"/>
    <sheet name="Synthe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BALANCE N / N-1 (à coller)</t>
        </is>
      </c>
    </row>
    <row r="2">
      <c r="A2" s="2" t="inlineStr">
        <is>
          <t>Seuil d'alerte (%)</t>
        </is>
      </c>
      <c r="E2" s="3" t="n">
        <v>0.1</v>
      </c>
    </row>
    <row r="3">
      <c r="A3" s="4" t="inlineStr">
        <is>
          <t>Compte</t>
        </is>
      </c>
      <c r="B3" s="4" t="inlineStr">
        <is>
          <t>Libellé</t>
        </is>
      </c>
      <c r="C3" s="4" t="inlineStr">
        <is>
          <t>Solde N</t>
        </is>
      </c>
      <c r="D3" s="4" t="inlineStr">
        <is>
          <t>Solde N-1</t>
        </is>
      </c>
      <c r="E3" s="4" t="inlineStr">
        <is>
          <t>Cycle</t>
        </is>
      </c>
      <c r="F3" s="4" t="inlineStr">
        <is>
          <t>Variation</t>
        </is>
      </c>
      <c r="G3" s="4" t="inlineStr">
        <is>
          <t>Var %</t>
        </is>
      </c>
      <c r="H3" s="4" t="inlineStr">
        <is>
          <t>Alerte</t>
        </is>
      </c>
    </row>
    <row r="4">
      <c r="A4" t="inlineStr">
        <is>
          <t>602000</t>
        </is>
      </c>
      <c r="B4" t="inlineStr">
        <is>
          <t>Achats matières</t>
        </is>
      </c>
      <c r="C4" s="5" t="n">
        <v>350000000</v>
      </c>
      <c r="D4" s="5" t="n">
        <v>230000000</v>
      </c>
      <c r="E4">
        <f>IF($A4="","",IF(LEFT($A4,2)="40","Achats/Fournisseurs",IF(LEFT($A4,2)="41","Ventes/Clients",IF(OR(LEFT($A4,2)="42",LEFT($A4,2)="43"),"Personnel",IF(LEFT($A4,2)="44","État/Fiscal",IF(LEFT($A4,1)="1","Capitaux",IF(LEFT($A4,1)="2","Immobilisations",IF(LEFT($A4,1)="3","Stocks",IF(LEFT($A4,1)="5","Trésorerie",IF(LEFT($A4,1)="6","Charges",IF(LEFT($A4,1)="7","Produits",IF(LEFT($A4,1)="8","HAO","Autres")))))))))))))</f>
        <v/>
      </c>
      <c r="F4" s="5">
        <f>IF($A4="","",$C4-$D4)</f>
        <v/>
      </c>
      <c r="G4" s="3">
        <f>IF(OR($A4="",$D4=0),"",($C4-$D4)/ABS($D4))</f>
        <v/>
      </c>
      <c r="H4">
        <f>IF($G4="","",IF(ABS($G4)&gt;=$E$2,"À investiguer",""))</f>
        <v/>
      </c>
    </row>
    <row r="5">
      <c r="A5" t="inlineStr">
        <is>
          <t>411000</t>
        </is>
      </c>
      <c r="B5" t="inlineStr">
        <is>
          <t>Clients</t>
        </is>
      </c>
      <c r="C5" s="5" t="n">
        <v>250000000</v>
      </c>
      <c r="D5" s="5" t="n">
        <v>180000000</v>
      </c>
      <c r="E5">
        <f>IF($A5="","",IF(LEFT($A5,2)="40","Achats/Fournisseurs",IF(LEFT($A5,2)="41","Ventes/Clients",IF(OR(LEFT($A5,2)="42",LEFT($A5,2)="43"),"Personnel",IF(LEFT($A5,2)="44","État/Fiscal",IF(LEFT($A5,1)="1","Capitaux",IF(LEFT($A5,1)="2","Immobilisations",IF(LEFT($A5,1)="3","Stocks",IF(LEFT($A5,1)="5","Trésorerie",IF(LEFT($A5,1)="6","Charges",IF(LEFT($A5,1)="7","Produits",IF(LEFT($A5,1)="8","HAO","Autres")))))))))))))</f>
        <v/>
      </c>
      <c r="F5" s="5">
        <f>IF($A5="","",$C5-$D5)</f>
        <v/>
      </c>
      <c r="G5" s="3">
        <f>IF(OR($A5="",$D5=0),"",($C5-$D5)/ABS($D5))</f>
        <v/>
      </c>
      <c r="H5">
        <f>IF($G5="","",IF(ABS($G5)&gt;=$E$2,"À investiguer",""))</f>
        <v/>
      </c>
    </row>
    <row r="6">
      <c r="C6" s="5" t="n"/>
      <c r="D6" s="5" t="n"/>
      <c r="E6">
        <f>IF($A6="","",IF(LEFT($A6,2)="40","Achats/Fournisseurs",IF(LEFT($A6,2)="41","Ventes/Clients",IF(OR(LEFT($A6,2)="42",LEFT($A6,2)="43"),"Personnel",IF(LEFT($A6,2)="44","État/Fiscal",IF(LEFT($A6,1)="1","Capitaux",IF(LEFT($A6,1)="2","Immobilisations",IF(LEFT($A6,1)="3","Stocks",IF(LEFT($A6,1)="5","Trésorerie",IF(LEFT($A6,1)="6","Charges",IF(LEFT($A6,1)="7","Produits",IF(LEFT($A6,1)="8","HAO","Autres")))))))))))))</f>
        <v/>
      </c>
      <c r="F6" s="5">
        <f>IF($A6="","",$C6-$D6)</f>
        <v/>
      </c>
      <c r="G6" s="3">
        <f>IF(OR($A6="",$D6=0),"",($C6-$D6)/ABS($D6))</f>
        <v/>
      </c>
      <c r="H6">
        <f>IF($G6="","",IF(ABS($G6)&gt;=$E$2,"À investiguer",""))</f>
        <v/>
      </c>
    </row>
    <row r="7">
      <c r="C7" s="5" t="n"/>
      <c r="D7" s="5" t="n"/>
      <c r="E7">
        <f>IF($A7="","",IF(LEFT($A7,2)="40","Achats/Fournisseurs",IF(LEFT($A7,2)="41","Ventes/Clients",IF(OR(LEFT($A7,2)="42",LEFT($A7,2)="43"),"Personnel",IF(LEFT($A7,2)="44","État/Fiscal",IF(LEFT($A7,1)="1","Capitaux",IF(LEFT($A7,1)="2","Immobilisations",IF(LEFT($A7,1)="3","Stocks",IF(LEFT($A7,1)="5","Trésorerie",IF(LEFT($A7,1)="6","Charges",IF(LEFT($A7,1)="7","Produits",IF(LEFT($A7,1)="8","HAO","Autres")))))))))))))</f>
        <v/>
      </c>
      <c r="F7" s="5">
        <f>IF($A7="","",$C7-$D7)</f>
        <v/>
      </c>
      <c r="G7" s="3">
        <f>IF(OR($A7="",$D7=0),"",($C7-$D7)/ABS($D7))</f>
        <v/>
      </c>
      <c r="H7">
        <f>IF($G7="","",IF(ABS($G7)&gt;=$E$2,"À investiguer",""))</f>
        <v/>
      </c>
    </row>
    <row r="8">
      <c r="C8" s="5" t="n"/>
      <c r="D8" s="5" t="n"/>
      <c r="E8">
        <f>IF($A8="","",IF(LEFT($A8,2)="40","Achats/Fournisseurs",IF(LEFT($A8,2)="41","Ventes/Clients",IF(OR(LEFT($A8,2)="42",LEFT($A8,2)="43"),"Personnel",IF(LEFT($A8,2)="44","État/Fiscal",IF(LEFT($A8,1)="1","Capitaux",IF(LEFT($A8,1)="2","Immobilisations",IF(LEFT($A8,1)="3","Stocks",IF(LEFT($A8,1)="5","Trésorerie",IF(LEFT($A8,1)="6","Charges",IF(LEFT($A8,1)="7","Produits",IF(LEFT($A8,1)="8","HAO","Autres")))))))))))))</f>
        <v/>
      </c>
      <c r="F8" s="5">
        <f>IF($A8="","",$C8-$D8)</f>
        <v/>
      </c>
      <c r="G8" s="3">
        <f>IF(OR($A8="",$D8=0),"",($C8-$D8)/ABS($D8))</f>
        <v/>
      </c>
      <c r="H8">
        <f>IF($G8="","",IF(ABS($G8)&gt;=$E$2,"À investiguer",""))</f>
        <v/>
      </c>
    </row>
    <row r="9">
      <c r="C9" s="5" t="n"/>
      <c r="D9" s="5" t="n"/>
      <c r="E9">
        <f>IF($A9="","",IF(LEFT($A9,2)="40","Achats/Fournisseurs",IF(LEFT($A9,2)="41","Ventes/Clients",IF(OR(LEFT($A9,2)="42",LEFT($A9,2)="43"),"Personnel",IF(LEFT($A9,2)="44","État/Fiscal",IF(LEFT($A9,1)="1","Capitaux",IF(LEFT($A9,1)="2","Immobilisations",IF(LEFT($A9,1)="3","Stocks",IF(LEFT($A9,1)="5","Trésorerie",IF(LEFT($A9,1)="6","Charges",IF(LEFT($A9,1)="7","Produits",IF(LEFT($A9,1)="8","HAO","Autres")))))))))))))</f>
        <v/>
      </c>
      <c r="F9" s="5">
        <f>IF($A9="","",$C9-$D9)</f>
        <v/>
      </c>
      <c r="G9" s="3">
        <f>IF(OR($A9="",$D9=0),"",($C9-$D9)/ABS($D9))</f>
        <v/>
      </c>
      <c r="H9">
        <f>IF($G9="","",IF(ABS($G9)&gt;=$E$2,"À investiguer",""))</f>
        <v/>
      </c>
    </row>
    <row r="10">
      <c r="C10" s="5" t="n"/>
      <c r="D10" s="5" t="n"/>
      <c r="E10">
        <f>IF($A10="","",IF(LEFT($A10,2)="40","Achats/Fournisseurs",IF(LEFT($A10,2)="41","Ventes/Clients",IF(OR(LEFT($A10,2)="42",LEFT($A10,2)="43"),"Personnel",IF(LEFT($A10,2)="44","État/Fiscal",IF(LEFT($A10,1)="1","Capitaux",IF(LEFT($A10,1)="2","Immobilisations",IF(LEFT($A10,1)="3","Stocks",IF(LEFT($A10,1)="5","Trésorerie",IF(LEFT($A10,1)="6","Charges",IF(LEFT($A10,1)="7","Produits",IF(LEFT($A10,1)="8","HAO","Autres")))))))))))))</f>
        <v/>
      </c>
      <c r="F10" s="5">
        <f>IF($A10="","",$C10-$D10)</f>
        <v/>
      </c>
      <c r="G10" s="3">
        <f>IF(OR($A10="",$D10=0),"",($C10-$D10)/ABS($D10))</f>
        <v/>
      </c>
      <c r="H10">
        <f>IF($G10="","",IF(ABS($G10)&gt;=$E$2,"À investiguer",""))</f>
        <v/>
      </c>
    </row>
    <row r="11">
      <c r="C11" s="5" t="n"/>
      <c r="D11" s="5" t="n"/>
      <c r="E11">
        <f>IF($A11="","",IF(LEFT($A11,2)="40","Achats/Fournisseurs",IF(LEFT($A11,2)="41","Ventes/Clients",IF(OR(LEFT($A11,2)="42",LEFT($A11,2)="43"),"Personnel",IF(LEFT($A11,2)="44","État/Fiscal",IF(LEFT($A11,1)="1","Capitaux",IF(LEFT($A11,1)="2","Immobilisations",IF(LEFT($A11,1)="3","Stocks",IF(LEFT($A11,1)="5","Trésorerie",IF(LEFT($A11,1)="6","Charges",IF(LEFT($A11,1)="7","Produits",IF(LEFT($A11,1)="8","HAO","Autres")))))))))))))</f>
        <v/>
      </c>
      <c r="F11" s="5">
        <f>IF($A11="","",$C11-$D11)</f>
        <v/>
      </c>
      <c r="G11" s="3">
        <f>IF(OR($A11="",$D11=0),"",($C11-$D11)/ABS($D11))</f>
        <v/>
      </c>
      <c r="H11">
        <f>IF($G11="","",IF(ABS($G11)&gt;=$E$2,"À investiguer",""))</f>
        <v/>
      </c>
    </row>
    <row r="12">
      <c r="C12" s="5" t="n"/>
      <c r="D12" s="5" t="n"/>
      <c r="E12">
        <f>IF($A12="","",IF(LEFT($A12,2)="40","Achats/Fournisseurs",IF(LEFT($A12,2)="41","Ventes/Clients",IF(OR(LEFT($A12,2)="42",LEFT($A12,2)="43"),"Personnel",IF(LEFT($A12,2)="44","État/Fiscal",IF(LEFT($A12,1)="1","Capitaux",IF(LEFT($A12,1)="2","Immobilisations",IF(LEFT($A12,1)="3","Stocks",IF(LEFT($A12,1)="5","Trésorerie",IF(LEFT($A12,1)="6","Charges",IF(LEFT($A12,1)="7","Produits",IF(LEFT($A12,1)="8","HAO","Autres")))))))))))))</f>
        <v/>
      </c>
      <c r="F12" s="5">
        <f>IF($A12="","",$C12-$D12)</f>
        <v/>
      </c>
      <c r="G12" s="3">
        <f>IF(OR($A12="",$D12=0),"",($C12-$D12)/ABS($D12))</f>
        <v/>
      </c>
      <c r="H12">
        <f>IF($G12="","",IF(ABS($G12)&gt;=$E$2,"À investiguer",""))</f>
        <v/>
      </c>
    </row>
    <row r="13">
      <c r="C13" s="5" t="n"/>
      <c r="D13" s="5" t="n"/>
      <c r="E13">
        <f>IF($A13="","",IF(LEFT($A13,2)="40","Achats/Fournisseurs",IF(LEFT($A13,2)="41","Ventes/Clients",IF(OR(LEFT($A13,2)="42",LEFT($A13,2)="43"),"Personnel",IF(LEFT($A13,2)="44","État/Fiscal",IF(LEFT($A13,1)="1","Capitaux",IF(LEFT($A13,1)="2","Immobilisations",IF(LEFT($A13,1)="3","Stocks",IF(LEFT($A13,1)="5","Trésorerie",IF(LEFT($A13,1)="6","Charges",IF(LEFT($A13,1)="7","Produits",IF(LEFT($A13,1)="8","HAO","Autres")))))))))))))</f>
        <v/>
      </c>
      <c r="F13" s="5">
        <f>IF($A13="","",$C13-$D13)</f>
        <v/>
      </c>
      <c r="G13" s="3">
        <f>IF(OR($A13="",$D13=0),"",($C13-$D13)/ABS($D13))</f>
        <v/>
      </c>
      <c r="H13">
        <f>IF($G13="","",IF(ABS($G13)&gt;=$E$2,"À investiguer",""))</f>
        <v/>
      </c>
    </row>
    <row r="14">
      <c r="C14" s="5" t="n"/>
      <c r="D14" s="5" t="n"/>
      <c r="E14">
        <f>IF($A14="","",IF(LEFT($A14,2)="40","Achats/Fournisseurs",IF(LEFT($A14,2)="41","Ventes/Clients",IF(OR(LEFT($A14,2)="42",LEFT($A14,2)="43"),"Personnel",IF(LEFT($A14,2)="44","État/Fiscal",IF(LEFT($A14,1)="1","Capitaux",IF(LEFT($A14,1)="2","Immobilisations",IF(LEFT($A14,1)="3","Stocks",IF(LEFT($A14,1)="5","Trésorerie",IF(LEFT($A14,1)="6","Charges",IF(LEFT($A14,1)="7","Produits",IF(LEFT($A14,1)="8","HAO","Autres")))))))))))))</f>
        <v/>
      </c>
      <c r="F14" s="5">
        <f>IF($A14="","",$C14-$D14)</f>
        <v/>
      </c>
      <c r="G14" s="3">
        <f>IF(OR($A14="",$D14=0),"",($C14-$D14)/ABS($D14))</f>
        <v/>
      </c>
      <c r="H14">
        <f>IF($G14="","",IF(ABS($G14)&gt;=$E$2,"À investiguer",""))</f>
        <v/>
      </c>
    </row>
    <row r="15">
      <c r="C15" s="5" t="n"/>
      <c r="D15" s="5" t="n"/>
      <c r="E15">
        <f>IF($A15="","",IF(LEFT($A15,2)="40","Achats/Fournisseurs",IF(LEFT($A15,2)="41","Ventes/Clients",IF(OR(LEFT($A15,2)="42",LEFT($A15,2)="43"),"Personnel",IF(LEFT($A15,2)="44","État/Fiscal",IF(LEFT($A15,1)="1","Capitaux",IF(LEFT($A15,1)="2","Immobilisations",IF(LEFT($A15,1)="3","Stocks",IF(LEFT($A15,1)="5","Trésorerie",IF(LEFT($A15,1)="6","Charges",IF(LEFT($A15,1)="7","Produits",IF(LEFT($A15,1)="8","HAO","Autres")))))))))))))</f>
        <v/>
      </c>
      <c r="F15" s="5">
        <f>IF($A15="","",$C15-$D15)</f>
        <v/>
      </c>
      <c r="G15" s="3">
        <f>IF(OR($A15="",$D15=0),"",($C15-$D15)/ABS($D15))</f>
        <v/>
      </c>
      <c r="H15">
        <f>IF($G15="","",IF(ABS($G15)&gt;=$E$2,"À investiguer",""))</f>
        <v/>
      </c>
    </row>
    <row r="16">
      <c r="C16" s="5" t="n"/>
      <c r="D16" s="5" t="n"/>
      <c r="E16">
        <f>IF($A16="","",IF(LEFT($A16,2)="40","Achats/Fournisseurs",IF(LEFT($A16,2)="41","Ventes/Clients",IF(OR(LEFT($A16,2)="42",LEFT($A16,2)="43"),"Personnel",IF(LEFT($A16,2)="44","État/Fiscal",IF(LEFT($A16,1)="1","Capitaux",IF(LEFT($A16,1)="2","Immobilisations",IF(LEFT($A16,1)="3","Stocks",IF(LEFT($A16,1)="5","Trésorerie",IF(LEFT($A16,1)="6","Charges",IF(LEFT($A16,1)="7","Produits",IF(LEFT($A16,1)="8","HAO","Autres")))))))))))))</f>
        <v/>
      </c>
      <c r="F16" s="5">
        <f>IF($A16="","",$C16-$D16)</f>
        <v/>
      </c>
      <c r="G16" s="3">
        <f>IF(OR($A16="",$D16=0),"",($C16-$D16)/ABS($D16))</f>
        <v/>
      </c>
      <c r="H16">
        <f>IF($G16="","",IF(ABS($G16)&gt;=$E$2,"À investiguer",""))</f>
        <v/>
      </c>
    </row>
    <row r="17">
      <c r="C17" s="5" t="n"/>
      <c r="D17" s="5" t="n"/>
      <c r="E17">
        <f>IF($A17="","",IF(LEFT($A17,2)="40","Achats/Fournisseurs",IF(LEFT($A17,2)="41","Ventes/Clients",IF(OR(LEFT($A17,2)="42",LEFT($A17,2)="43"),"Personnel",IF(LEFT($A17,2)="44","État/Fiscal",IF(LEFT($A17,1)="1","Capitaux",IF(LEFT($A17,1)="2","Immobilisations",IF(LEFT($A17,1)="3","Stocks",IF(LEFT($A17,1)="5","Trésorerie",IF(LEFT($A17,1)="6","Charges",IF(LEFT($A17,1)="7","Produits",IF(LEFT($A17,1)="8","HAO","Autres")))))))))))))</f>
        <v/>
      </c>
      <c r="F17" s="5">
        <f>IF($A17="","",$C17-$D17)</f>
        <v/>
      </c>
      <c r="G17" s="3">
        <f>IF(OR($A17="",$D17=0),"",($C17-$D17)/ABS($D17))</f>
        <v/>
      </c>
      <c r="H17">
        <f>IF($G17="","",IF(ABS($G17)&gt;=$E$2,"À investiguer",""))</f>
        <v/>
      </c>
    </row>
    <row r="18">
      <c r="C18" s="5" t="n"/>
      <c r="D18" s="5" t="n"/>
      <c r="E18">
        <f>IF($A18="","",IF(LEFT($A18,2)="40","Achats/Fournisseurs",IF(LEFT($A18,2)="41","Ventes/Clients",IF(OR(LEFT($A18,2)="42",LEFT($A18,2)="43"),"Personnel",IF(LEFT($A18,2)="44","État/Fiscal",IF(LEFT($A18,1)="1","Capitaux",IF(LEFT($A18,1)="2","Immobilisations",IF(LEFT($A18,1)="3","Stocks",IF(LEFT($A18,1)="5","Trésorerie",IF(LEFT($A18,1)="6","Charges",IF(LEFT($A18,1)="7","Produits",IF(LEFT($A18,1)="8","HAO","Autres")))))))))))))</f>
        <v/>
      </c>
      <c r="F18" s="5">
        <f>IF($A18="","",$C18-$D18)</f>
        <v/>
      </c>
      <c r="G18" s="3">
        <f>IF(OR($A18="",$D18=0),"",($C18-$D18)/ABS($D18))</f>
        <v/>
      </c>
      <c r="H18">
        <f>IF($G18="","",IF(ABS($G18)&gt;=$E$2,"À investiguer",""))</f>
        <v/>
      </c>
    </row>
    <row r="19">
      <c r="C19" s="5" t="n"/>
      <c r="D19" s="5" t="n"/>
      <c r="E19">
        <f>IF($A19="","",IF(LEFT($A19,2)="40","Achats/Fournisseurs",IF(LEFT($A19,2)="41","Ventes/Clients",IF(OR(LEFT($A19,2)="42",LEFT($A19,2)="43"),"Personnel",IF(LEFT($A19,2)="44","État/Fiscal",IF(LEFT($A19,1)="1","Capitaux",IF(LEFT($A19,1)="2","Immobilisations",IF(LEFT($A19,1)="3","Stocks",IF(LEFT($A19,1)="5","Trésorerie",IF(LEFT($A19,1)="6","Charges",IF(LEFT($A19,1)="7","Produits",IF(LEFT($A19,1)="8","HAO","Autres")))))))))))))</f>
        <v/>
      </c>
      <c r="F19" s="5">
        <f>IF($A19="","",$C19-$D19)</f>
        <v/>
      </c>
      <c r="G19" s="3">
        <f>IF(OR($A19="",$D19=0),"",($C19-$D19)/ABS($D19))</f>
        <v/>
      </c>
      <c r="H19">
        <f>IF($G19="","",IF(ABS($G19)&gt;=$E$2,"À investiguer",""))</f>
        <v/>
      </c>
    </row>
    <row r="20">
      <c r="C20" s="5" t="n"/>
      <c r="D20" s="5" t="n"/>
      <c r="E20">
        <f>IF($A20="","",IF(LEFT($A20,2)="40","Achats/Fournisseurs",IF(LEFT($A20,2)="41","Ventes/Clients",IF(OR(LEFT($A20,2)="42",LEFT($A20,2)="43"),"Personnel",IF(LEFT($A20,2)="44","État/Fiscal",IF(LEFT($A20,1)="1","Capitaux",IF(LEFT($A20,1)="2","Immobilisations",IF(LEFT($A20,1)="3","Stocks",IF(LEFT($A20,1)="5","Trésorerie",IF(LEFT($A20,1)="6","Charges",IF(LEFT($A20,1)="7","Produits",IF(LEFT($A20,1)="8","HAO","Autres")))))))))))))</f>
        <v/>
      </c>
      <c r="F20" s="5">
        <f>IF($A20="","",$C20-$D20)</f>
        <v/>
      </c>
      <c r="G20" s="3">
        <f>IF(OR($A20="",$D20=0),"",($C20-$D20)/ABS($D20))</f>
        <v/>
      </c>
      <c r="H20">
        <f>IF($G20="","",IF(ABS($G20)&gt;=$E$2,"À investiguer",""))</f>
        <v/>
      </c>
    </row>
    <row r="21">
      <c r="C21" s="5" t="n"/>
      <c r="D21" s="5" t="n"/>
      <c r="E21">
        <f>IF($A21="","",IF(LEFT($A21,2)="40","Achats/Fournisseurs",IF(LEFT($A21,2)="41","Ventes/Clients",IF(OR(LEFT($A21,2)="42",LEFT($A21,2)="43"),"Personnel",IF(LEFT($A21,2)="44","État/Fiscal",IF(LEFT($A21,1)="1","Capitaux",IF(LEFT($A21,1)="2","Immobilisations",IF(LEFT($A21,1)="3","Stocks",IF(LEFT($A21,1)="5","Trésorerie",IF(LEFT($A21,1)="6","Charges",IF(LEFT($A21,1)="7","Produits",IF(LEFT($A21,1)="8","HAO","Autres")))))))))))))</f>
        <v/>
      </c>
      <c r="F21" s="5">
        <f>IF($A21="","",$C21-$D21)</f>
        <v/>
      </c>
      <c r="G21" s="3">
        <f>IF(OR($A21="",$D21=0),"",($C21-$D21)/ABS($D21))</f>
        <v/>
      </c>
      <c r="H21">
        <f>IF($G21="","",IF(ABS($G21)&gt;=$E$2,"À investiguer",""))</f>
        <v/>
      </c>
    </row>
    <row r="22">
      <c r="C22" s="5" t="n"/>
      <c r="D22" s="5" t="n"/>
      <c r="E22">
        <f>IF($A22="","",IF(LEFT($A22,2)="40","Achats/Fournisseurs",IF(LEFT($A22,2)="41","Ventes/Clients",IF(OR(LEFT($A22,2)="42",LEFT($A22,2)="43"),"Personnel",IF(LEFT($A22,2)="44","État/Fiscal",IF(LEFT($A22,1)="1","Capitaux",IF(LEFT($A22,1)="2","Immobilisations",IF(LEFT($A22,1)="3","Stocks",IF(LEFT($A22,1)="5","Trésorerie",IF(LEFT($A22,1)="6","Charges",IF(LEFT($A22,1)="7","Produits",IF(LEFT($A22,1)="8","HAO","Autres")))))))))))))</f>
        <v/>
      </c>
      <c r="F22" s="5">
        <f>IF($A22="","",$C22-$D22)</f>
        <v/>
      </c>
      <c r="G22" s="3">
        <f>IF(OR($A22="",$D22=0),"",($C22-$D22)/ABS($D22))</f>
        <v/>
      </c>
      <c r="H22">
        <f>IF($G22="","",IF(ABS($G22)&gt;=$E$2,"À investiguer",""))</f>
        <v/>
      </c>
    </row>
    <row r="23">
      <c r="C23" s="5" t="n"/>
      <c r="D23" s="5" t="n"/>
      <c r="E23">
        <f>IF($A23="","",IF(LEFT($A23,2)="40","Achats/Fournisseurs",IF(LEFT($A23,2)="41","Ventes/Clients",IF(OR(LEFT($A23,2)="42",LEFT($A23,2)="43"),"Personnel",IF(LEFT($A23,2)="44","État/Fiscal",IF(LEFT($A23,1)="1","Capitaux",IF(LEFT($A23,1)="2","Immobilisations",IF(LEFT($A23,1)="3","Stocks",IF(LEFT($A23,1)="5","Trésorerie",IF(LEFT($A23,1)="6","Charges",IF(LEFT($A23,1)="7","Produits",IF(LEFT($A23,1)="8","HAO","Autres")))))))))))))</f>
        <v/>
      </c>
      <c r="F23" s="5">
        <f>IF($A23="","",$C23-$D23)</f>
        <v/>
      </c>
      <c r="G23" s="3">
        <f>IF(OR($A23="",$D23=0),"",($C23-$D23)/ABS($D23))</f>
        <v/>
      </c>
      <c r="H23">
        <f>IF($G23="","",IF(ABS($G23)&gt;=$E$2,"À investiguer",""))</f>
        <v/>
      </c>
    </row>
    <row r="24">
      <c r="C24" s="5" t="n"/>
      <c r="D24" s="5" t="n"/>
      <c r="E24">
        <f>IF($A24="","",IF(LEFT($A24,2)="40","Achats/Fournisseurs",IF(LEFT($A24,2)="41","Ventes/Clients",IF(OR(LEFT($A24,2)="42",LEFT($A24,2)="43"),"Personnel",IF(LEFT($A24,2)="44","État/Fiscal",IF(LEFT($A24,1)="1","Capitaux",IF(LEFT($A24,1)="2","Immobilisations",IF(LEFT($A24,1)="3","Stocks",IF(LEFT($A24,1)="5","Trésorerie",IF(LEFT($A24,1)="6","Charges",IF(LEFT($A24,1)="7","Produits",IF(LEFT($A24,1)="8","HAO","Autres")))))))))))))</f>
        <v/>
      </c>
      <c r="F24" s="5">
        <f>IF($A24="","",$C24-$D24)</f>
        <v/>
      </c>
      <c r="G24" s="3">
        <f>IF(OR($A24="",$D24=0),"",($C24-$D24)/ABS($D24))</f>
        <v/>
      </c>
      <c r="H24">
        <f>IF($G24="","",IF(ABS($G24)&gt;=$E$2,"À investiguer",""))</f>
        <v/>
      </c>
    </row>
    <row r="25">
      <c r="C25" s="5" t="n"/>
      <c r="D25" s="5" t="n"/>
      <c r="E25">
        <f>IF($A25="","",IF(LEFT($A25,2)="40","Achats/Fournisseurs",IF(LEFT($A25,2)="41","Ventes/Clients",IF(OR(LEFT($A25,2)="42",LEFT($A25,2)="43"),"Personnel",IF(LEFT($A25,2)="44","État/Fiscal",IF(LEFT($A25,1)="1","Capitaux",IF(LEFT($A25,1)="2","Immobilisations",IF(LEFT($A25,1)="3","Stocks",IF(LEFT($A25,1)="5","Trésorerie",IF(LEFT($A25,1)="6","Charges",IF(LEFT($A25,1)="7","Produits",IF(LEFT($A25,1)="8","HAO","Autres")))))))))))))</f>
        <v/>
      </c>
      <c r="F25" s="5">
        <f>IF($A25="","",$C25-$D25)</f>
        <v/>
      </c>
      <c r="G25" s="3">
        <f>IF(OR($A25="",$D25=0),"",($C25-$D25)/ABS($D25))</f>
        <v/>
      </c>
      <c r="H25">
        <f>IF($G25="","",IF(ABS($G25)&gt;=$E$2,"À investiguer",""))</f>
        <v/>
      </c>
    </row>
    <row r="26">
      <c r="C26" s="5" t="n"/>
      <c r="D26" s="5" t="n"/>
      <c r="E26">
        <f>IF($A26="","",IF(LEFT($A26,2)="40","Achats/Fournisseurs",IF(LEFT($A26,2)="41","Ventes/Clients",IF(OR(LEFT($A26,2)="42",LEFT($A26,2)="43"),"Personnel",IF(LEFT($A26,2)="44","État/Fiscal",IF(LEFT($A26,1)="1","Capitaux",IF(LEFT($A26,1)="2","Immobilisations",IF(LEFT($A26,1)="3","Stocks",IF(LEFT($A26,1)="5","Trésorerie",IF(LEFT($A26,1)="6","Charges",IF(LEFT($A26,1)="7","Produits",IF(LEFT($A26,1)="8","HAO","Autres")))))))))))))</f>
        <v/>
      </c>
      <c r="F26" s="5">
        <f>IF($A26="","",$C26-$D26)</f>
        <v/>
      </c>
      <c r="G26" s="3">
        <f>IF(OR($A26="",$D26=0),"",($C26-$D26)/ABS($D26))</f>
        <v/>
      </c>
      <c r="H26">
        <f>IF($G26="","",IF(ABS($G26)&gt;=$E$2,"À investiguer",""))</f>
        <v/>
      </c>
    </row>
    <row r="27">
      <c r="C27" s="5" t="n"/>
      <c r="D27" s="5" t="n"/>
      <c r="E27">
        <f>IF($A27="","",IF(LEFT($A27,2)="40","Achats/Fournisseurs",IF(LEFT($A27,2)="41","Ventes/Clients",IF(OR(LEFT($A27,2)="42",LEFT($A27,2)="43"),"Personnel",IF(LEFT($A27,2)="44","État/Fiscal",IF(LEFT($A27,1)="1","Capitaux",IF(LEFT($A27,1)="2","Immobilisations",IF(LEFT($A27,1)="3","Stocks",IF(LEFT($A27,1)="5","Trésorerie",IF(LEFT($A27,1)="6","Charges",IF(LEFT($A27,1)="7","Produits",IF(LEFT($A27,1)="8","HAO","Autres")))))))))))))</f>
        <v/>
      </c>
      <c r="F27" s="5">
        <f>IF($A27="","",$C27-$D27)</f>
        <v/>
      </c>
      <c r="G27" s="3">
        <f>IF(OR($A27="",$D27=0),"",($C27-$D27)/ABS($D27))</f>
        <v/>
      </c>
      <c r="H27">
        <f>IF($G27="","",IF(ABS($G27)&gt;=$E$2,"À investiguer",""))</f>
        <v/>
      </c>
    </row>
    <row r="28">
      <c r="C28" s="5" t="n"/>
      <c r="D28" s="5" t="n"/>
      <c r="E28">
        <f>IF($A28="","",IF(LEFT($A28,2)="40","Achats/Fournisseurs",IF(LEFT($A28,2)="41","Ventes/Clients",IF(OR(LEFT($A28,2)="42",LEFT($A28,2)="43"),"Personnel",IF(LEFT($A28,2)="44","État/Fiscal",IF(LEFT($A28,1)="1","Capitaux",IF(LEFT($A28,1)="2","Immobilisations",IF(LEFT($A28,1)="3","Stocks",IF(LEFT($A28,1)="5","Trésorerie",IF(LEFT($A28,1)="6","Charges",IF(LEFT($A28,1)="7","Produits",IF(LEFT($A28,1)="8","HAO","Autres")))))))))))))</f>
        <v/>
      </c>
      <c r="F28" s="5">
        <f>IF($A28="","",$C28-$D28)</f>
        <v/>
      </c>
      <c r="G28" s="3">
        <f>IF(OR($A28="",$D28=0),"",($C28-$D28)/ABS($D28))</f>
        <v/>
      </c>
      <c r="H28">
        <f>IF($G28="","",IF(ABS($G28)&gt;=$E$2,"À investiguer",""))</f>
        <v/>
      </c>
    </row>
    <row r="29">
      <c r="C29" s="5" t="n"/>
      <c r="D29" s="5" t="n"/>
      <c r="E29">
        <f>IF($A29="","",IF(LEFT($A29,2)="40","Achats/Fournisseurs",IF(LEFT($A29,2)="41","Ventes/Clients",IF(OR(LEFT($A29,2)="42",LEFT($A29,2)="43"),"Personnel",IF(LEFT($A29,2)="44","État/Fiscal",IF(LEFT($A29,1)="1","Capitaux",IF(LEFT($A29,1)="2","Immobilisations",IF(LEFT($A29,1)="3","Stocks",IF(LEFT($A29,1)="5","Trésorerie",IF(LEFT($A29,1)="6","Charges",IF(LEFT($A29,1)="7","Produits",IF(LEFT($A29,1)="8","HAO","Autres")))))))))))))</f>
        <v/>
      </c>
      <c r="F29" s="5">
        <f>IF($A29="","",$C29-$D29)</f>
        <v/>
      </c>
      <c r="G29" s="3">
        <f>IF(OR($A29="",$D29=0),"",($C29-$D29)/ABS($D29))</f>
        <v/>
      </c>
      <c r="H29">
        <f>IF($G29="","",IF(ABS($G29)&gt;=$E$2,"À investiguer",""))</f>
        <v/>
      </c>
    </row>
    <row r="30">
      <c r="C30" s="5" t="n"/>
      <c r="D30" s="5" t="n"/>
      <c r="E30">
        <f>IF($A30="","",IF(LEFT($A30,2)="40","Achats/Fournisseurs",IF(LEFT($A30,2)="41","Ventes/Clients",IF(OR(LEFT($A30,2)="42",LEFT($A30,2)="43"),"Personnel",IF(LEFT($A30,2)="44","État/Fiscal",IF(LEFT($A30,1)="1","Capitaux",IF(LEFT($A30,1)="2","Immobilisations",IF(LEFT($A30,1)="3","Stocks",IF(LEFT($A30,1)="5","Trésorerie",IF(LEFT($A30,1)="6","Charges",IF(LEFT($A30,1)="7","Produits",IF(LEFT($A30,1)="8","HAO","Autres")))))))))))))</f>
        <v/>
      </c>
      <c r="F30" s="5">
        <f>IF($A30="","",$C30-$D30)</f>
        <v/>
      </c>
      <c r="G30" s="3">
        <f>IF(OR($A30="",$D30=0),"",($C30-$D30)/ABS($D30))</f>
        <v/>
      </c>
      <c r="H30">
        <f>IF($G30="","",IF(ABS($G30)&gt;=$E$2,"À investiguer",""))</f>
        <v/>
      </c>
    </row>
    <row r="31">
      <c r="C31" s="5" t="n"/>
      <c r="D31" s="5" t="n"/>
      <c r="E31">
        <f>IF($A31="","",IF(LEFT($A31,2)="40","Achats/Fournisseurs",IF(LEFT($A31,2)="41","Ventes/Clients",IF(OR(LEFT($A31,2)="42",LEFT($A31,2)="43"),"Personnel",IF(LEFT($A31,2)="44","État/Fiscal",IF(LEFT($A31,1)="1","Capitaux",IF(LEFT($A31,1)="2","Immobilisations",IF(LEFT($A31,1)="3","Stocks",IF(LEFT($A31,1)="5","Trésorerie",IF(LEFT($A31,1)="6","Charges",IF(LEFT($A31,1)="7","Produits",IF(LEFT($A31,1)="8","HAO","Autres")))))))))))))</f>
        <v/>
      </c>
      <c r="F31" s="5">
        <f>IF($A31="","",$C31-$D31)</f>
        <v/>
      </c>
      <c r="G31" s="3">
        <f>IF(OR($A31="",$D31=0),"",($C31-$D31)/ABS($D31))</f>
        <v/>
      </c>
      <c r="H31">
        <f>IF($G31="","",IF(ABS($G31)&gt;=$E$2,"À investiguer",""))</f>
        <v/>
      </c>
    </row>
    <row r="32">
      <c r="C32" s="5" t="n"/>
      <c r="D32" s="5" t="n"/>
      <c r="E32">
        <f>IF($A32="","",IF(LEFT($A32,2)="40","Achats/Fournisseurs",IF(LEFT($A32,2)="41","Ventes/Clients",IF(OR(LEFT($A32,2)="42",LEFT($A32,2)="43"),"Personnel",IF(LEFT($A32,2)="44","État/Fiscal",IF(LEFT($A32,1)="1","Capitaux",IF(LEFT($A32,1)="2","Immobilisations",IF(LEFT($A32,1)="3","Stocks",IF(LEFT($A32,1)="5","Trésorerie",IF(LEFT($A32,1)="6","Charges",IF(LEFT($A32,1)="7","Produits",IF(LEFT($A32,1)="8","HAO","Autres")))))))))))))</f>
        <v/>
      </c>
      <c r="F32" s="5">
        <f>IF($A32="","",$C32-$D32)</f>
        <v/>
      </c>
      <c r="G32" s="3">
        <f>IF(OR($A32="",$D32=0),"",($C32-$D32)/ABS($D32))</f>
        <v/>
      </c>
      <c r="H32">
        <f>IF($G32="","",IF(ABS($G32)&gt;=$E$2,"À investiguer",""))</f>
        <v/>
      </c>
    </row>
    <row r="33">
      <c r="C33" s="5" t="n"/>
      <c r="D33" s="5" t="n"/>
      <c r="E33">
        <f>IF($A33="","",IF(LEFT($A33,2)="40","Achats/Fournisseurs",IF(LEFT($A33,2)="41","Ventes/Clients",IF(OR(LEFT($A33,2)="42",LEFT($A33,2)="43"),"Personnel",IF(LEFT($A33,2)="44","État/Fiscal",IF(LEFT($A33,1)="1","Capitaux",IF(LEFT($A33,1)="2","Immobilisations",IF(LEFT($A33,1)="3","Stocks",IF(LEFT($A33,1)="5","Trésorerie",IF(LEFT($A33,1)="6","Charges",IF(LEFT($A33,1)="7","Produits",IF(LEFT($A33,1)="8","HAO","Autres")))))))))))))</f>
        <v/>
      </c>
      <c r="F33" s="5">
        <f>IF($A33="","",$C33-$D33)</f>
        <v/>
      </c>
      <c r="G33" s="3">
        <f>IF(OR($A33="",$D33=0),"",($C33-$D33)/ABS($D33))</f>
        <v/>
      </c>
      <c r="H33">
        <f>IF($G33="","",IF(ABS($G33)&gt;=$E$2,"À investiguer",""))</f>
        <v/>
      </c>
    </row>
    <row r="34">
      <c r="C34" s="5" t="n"/>
      <c r="D34" s="5" t="n"/>
      <c r="E34">
        <f>IF($A34="","",IF(LEFT($A34,2)="40","Achats/Fournisseurs",IF(LEFT($A34,2)="41","Ventes/Clients",IF(OR(LEFT($A34,2)="42",LEFT($A34,2)="43"),"Personnel",IF(LEFT($A34,2)="44","État/Fiscal",IF(LEFT($A34,1)="1","Capitaux",IF(LEFT($A34,1)="2","Immobilisations",IF(LEFT($A34,1)="3","Stocks",IF(LEFT($A34,1)="5","Trésorerie",IF(LEFT($A34,1)="6","Charges",IF(LEFT($A34,1)="7","Produits",IF(LEFT($A34,1)="8","HAO","Autres")))))))))))))</f>
        <v/>
      </c>
      <c r="F34" s="5">
        <f>IF($A34="","",$C34-$D34)</f>
        <v/>
      </c>
      <c r="G34" s="3">
        <f>IF(OR($A34="",$D34=0),"",($C34-$D34)/ABS($D34))</f>
        <v/>
      </c>
      <c r="H34">
        <f>IF($G34="","",IF(ABS($G34)&gt;=$E$2,"À investiguer",""))</f>
        <v/>
      </c>
    </row>
    <row r="35">
      <c r="C35" s="5" t="n"/>
      <c r="D35" s="5" t="n"/>
      <c r="E35">
        <f>IF($A35="","",IF(LEFT($A35,2)="40","Achats/Fournisseurs",IF(LEFT($A35,2)="41","Ventes/Clients",IF(OR(LEFT($A35,2)="42",LEFT($A35,2)="43"),"Personnel",IF(LEFT($A35,2)="44","État/Fiscal",IF(LEFT($A35,1)="1","Capitaux",IF(LEFT($A35,1)="2","Immobilisations",IF(LEFT($A35,1)="3","Stocks",IF(LEFT($A35,1)="5","Trésorerie",IF(LEFT($A35,1)="6","Charges",IF(LEFT($A35,1)="7","Produits",IF(LEFT($A35,1)="8","HAO","Autres")))))))))))))</f>
        <v/>
      </c>
      <c r="F35" s="5">
        <f>IF($A35="","",$C35-$D35)</f>
        <v/>
      </c>
      <c r="G35" s="3">
        <f>IF(OR($A35="",$D35=0),"",($C35-$D35)/ABS($D35))</f>
        <v/>
      </c>
      <c r="H35">
        <f>IF($G35="","",IF(ABS($G35)&gt;=$E$2,"À investiguer",""))</f>
        <v/>
      </c>
    </row>
    <row r="36">
      <c r="C36" s="5" t="n"/>
      <c r="D36" s="5" t="n"/>
      <c r="E36">
        <f>IF($A36="","",IF(LEFT($A36,2)="40","Achats/Fournisseurs",IF(LEFT($A36,2)="41","Ventes/Clients",IF(OR(LEFT($A36,2)="42",LEFT($A36,2)="43"),"Personnel",IF(LEFT($A36,2)="44","État/Fiscal",IF(LEFT($A36,1)="1","Capitaux",IF(LEFT($A36,1)="2","Immobilisations",IF(LEFT($A36,1)="3","Stocks",IF(LEFT($A36,1)="5","Trésorerie",IF(LEFT($A36,1)="6","Charges",IF(LEFT($A36,1)="7","Produits",IF(LEFT($A36,1)="8","HAO","Autres")))))))))))))</f>
        <v/>
      </c>
      <c r="F36" s="5">
        <f>IF($A36="","",$C36-$D36)</f>
        <v/>
      </c>
      <c r="G36" s="3">
        <f>IF(OR($A36="",$D36=0),"",($C36-$D36)/ABS($D36))</f>
        <v/>
      </c>
      <c r="H36">
        <f>IF($G36="","",IF(ABS($G36)&gt;=$E$2,"À investiguer",""))</f>
        <v/>
      </c>
    </row>
    <row r="37">
      <c r="C37" s="5" t="n"/>
      <c r="D37" s="5" t="n"/>
      <c r="E37">
        <f>IF($A37="","",IF(LEFT($A37,2)="40","Achats/Fournisseurs",IF(LEFT($A37,2)="41","Ventes/Clients",IF(OR(LEFT($A37,2)="42",LEFT($A37,2)="43"),"Personnel",IF(LEFT($A37,2)="44","État/Fiscal",IF(LEFT($A37,1)="1","Capitaux",IF(LEFT($A37,1)="2","Immobilisations",IF(LEFT($A37,1)="3","Stocks",IF(LEFT($A37,1)="5","Trésorerie",IF(LEFT($A37,1)="6","Charges",IF(LEFT($A37,1)="7","Produits",IF(LEFT($A37,1)="8","HAO","Autres")))))))))))))</f>
        <v/>
      </c>
      <c r="F37" s="5">
        <f>IF($A37="","",$C37-$D37)</f>
        <v/>
      </c>
      <c r="G37" s="3">
        <f>IF(OR($A37="",$D37=0),"",($C37-$D37)/ABS($D37))</f>
        <v/>
      </c>
      <c r="H37">
        <f>IF($G37="","",IF(ABS($G37)&gt;=$E$2,"À investiguer",""))</f>
        <v/>
      </c>
    </row>
    <row r="38">
      <c r="C38" s="5" t="n"/>
      <c r="D38" s="5" t="n"/>
      <c r="E38">
        <f>IF($A38="","",IF(LEFT($A38,2)="40","Achats/Fournisseurs",IF(LEFT($A38,2)="41","Ventes/Clients",IF(OR(LEFT($A38,2)="42",LEFT($A38,2)="43"),"Personnel",IF(LEFT($A38,2)="44","État/Fiscal",IF(LEFT($A38,1)="1","Capitaux",IF(LEFT($A38,1)="2","Immobilisations",IF(LEFT($A38,1)="3","Stocks",IF(LEFT($A38,1)="5","Trésorerie",IF(LEFT($A38,1)="6","Charges",IF(LEFT($A38,1)="7","Produits",IF(LEFT($A38,1)="8","HAO","Autres")))))))))))))</f>
        <v/>
      </c>
      <c r="F38" s="5">
        <f>IF($A38="","",$C38-$D38)</f>
        <v/>
      </c>
      <c r="G38" s="3">
        <f>IF(OR($A38="",$D38=0),"",($C38-$D38)/ABS($D38))</f>
        <v/>
      </c>
      <c r="H38">
        <f>IF($G38="","",IF(ABS($G38)&gt;=$E$2,"À investiguer",""))</f>
        <v/>
      </c>
    </row>
    <row r="39">
      <c r="C39" s="5" t="n"/>
      <c r="D39" s="5" t="n"/>
      <c r="E39">
        <f>IF($A39="","",IF(LEFT($A39,2)="40","Achats/Fournisseurs",IF(LEFT($A39,2)="41","Ventes/Clients",IF(OR(LEFT($A39,2)="42",LEFT($A39,2)="43"),"Personnel",IF(LEFT($A39,2)="44","État/Fiscal",IF(LEFT($A39,1)="1","Capitaux",IF(LEFT($A39,1)="2","Immobilisations",IF(LEFT($A39,1)="3","Stocks",IF(LEFT($A39,1)="5","Trésorerie",IF(LEFT($A39,1)="6","Charges",IF(LEFT($A39,1)="7","Produits",IF(LEFT($A39,1)="8","HAO","Autres")))))))))))))</f>
        <v/>
      </c>
      <c r="F39" s="5">
        <f>IF($A39="","",$C39-$D39)</f>
        <v/>
      </c>
      <c r="G39" s="3">
        <f>IF(OR($A39="",$D39=0),"",($C39-$D39)/ABS($D39))</f>
        <v/>
      </c>
      <c r="H39">
        <f>IF($G39="","",IF(ABS($G39)&gt;=$E$2,"À investiguer",""))</f>
        <v/>
      </c>
    </row>
    <row r="40">
      <c r="C40" s="5" t="n"/>
      <c r="D40" s="5" t="n"/>
      <c r="E40">
        <f>IF($A40="","",IF(LEFT($A40,2)="40","Achats/Fournisseurs",IF(LEFT($A40,2)="41","Ventes/Clients",IF(OR(LEFT($A40,2)="42",LEFT($A40,2)="43"),"Personnel",IF(LEFT($A40,2)="44","État/Fiscal",IF(LEFT($A40,1)="1","Capitaux",IF(LEFT($A40,1)="2","Immobilisations",IF(LEFT($A40,1)="3","Stocks",IF(LEFT($A40,1)="5","Trésorerie",IF(LEFT($A40,1)="6","Charges",IF(LEFT($A40,1)="7","Produits",IF(LEFT($A40,1)="8","HAO","Autres")))))))))))))</f>
        <v/>
      </c>
      <c r="F40" s="5">
        <f>IF($A40="","",$C40-$D40)</f>
        <v/>
      </c>
      <c r="G40" s="3">
        <f>IF(OR($A40="",$D40=0),"",($C40-$D40)/ABS($D40))</f>
        <v/>
      </c>
      <c r="H40">
        <f>IF($G40="","",IF(ABS($G40)&gt;=$E$2,"À investiguer",""))</f>
        <v/>
      </c>
    </row>
    <row r="41">
      <c r="C41" s="5" t="n"/>
      <c r="D41" s="5" t="n"/>
      <c r="E41">
        <f>IF($A41="","",IF(LEFT($A41,2)="40","Achats/Fournisseurs",IF(LEFT($A41,2)="41","Ventes/Clients",IF(OR(LEFT($A41,2)="42",LEFT($A41,2)="43"),"Personnel",IF(LEFT($A41,2)="44","État/Fiscal",IF(LEFT($A41,1)="1","Capitaux",IF(LEFT($A41,1)="2","Immobilisations",IF(LEFT($A41,1)="3","Stocks",IF(LEFT($A41,1)="5","Trésorerie",IF(LEFT($A41,1)="6","Charges",IF(LEFT($A41,1)="7","Produits",IF(LEFT($A41,1)="8","HAO","Autres")))))))))))))</f>
        <v/>
      </c>
      <c r="F41" s="5">
        <f>IF($A41="","",$C41-$D41)</f>
        <v/>
      </c>
      <c r="G41" s="3">
        <f>IF(OR($A41="",$D41=0),"",($C41-$D41)/ABS($D41))</f>
        <v/>
      </c>
      <c r="H41">
        <f>IF($G41="","",IF(ABS($G41)&gt;=$E$2,"À investiguer",""))</f>
        <v/>
      </c>
    </row>
    <row r="42">
      <c r="C42" s="5" t="n"/>
      <c r="D42" s="5" t="n"/>
      <c r="E42">
        <f>IF($A42="","",IF(LEFT($A42,2)="40","Achats/Fournisseurs",IF(LEFT($A42,2)="41","Ventes/Clients",IF(OR(LEFT($A42,2)="42",LEFT($A42,2)="43"),"Personnel",IF(LEFT($A42,2)="44","État/Fiscal",IF(LEFT($A42,1)="1","Capitaux",IF(LEFT($A42,1)="2","Immobilisations",IF(LEFT($A42,1)="3","Stocks",IF(LEFT($A42,1)="5","Trésorerie",IF(LEFT($A42,1)="6","Charges",IF(LEFT($A42,1)="7","Produits",IF(LEFT($A42,1)="8","HAO","Autres")))))))))))))</f>
        <v/>
      </c>
      <c r="F42" s="5">
        <f>IF($A42="","",$C42-$D42)</f>
        <v/>
      </c>
      <c r="G42" s="3">
        <f>IF(OR($A42="",$D42=0),"",($C42-$D42)/ABS($D42))</f>
        <v/>
      </c>
      <c r="H42">
        <f>IF($G42="","",IF(ABS($G42)&gt;=$E$2,"À investiguer",""))</f>
        <v/>
      </c>
    </row>
    <row r="43">
      <c r="C43" s="5" t="n"/>
      <c r="D43" s="5" t="n"/>
      <c r="E43">
        <f>IF($A43="","",IF(LEFT($A43,2)="40","Achats/Fournisseurs",IF(LEFT($A43,2)="41","Ventes/Clients",IF(OR(LEFT($A43,2)="42",LEFT($A43,2)="43"),"Personnel",IF(LEFT($A43,2)="44","État/Fiscal",IF(LEFT($A43,1)="1","Capitaux",IF(LEFT($A43,1)="2","Immobilisations",IF(LEFT($A43,1)="3","Stocks",IF(LEFT($A43,1)="5","Trésorerie",IF(LEFT($A43,1)="6","Charges",IF(LEFT($A43,1)="7","Produits",IF(LEFT($A43,1)="8","HAO","Autres")))))))))))))</f>
        <v/>
      </c>
      <c r="F43" s="5">
        <f>IF($A43="","",$C43-$D43)</f>
        <v/>
      </c>
      <c r="G43" s="3">
        <f>IF(OR($A43="",$D43=0),"",($C43-$D43)/ABS($D43))</f>
        <v/>
      </c>
      <c r="H43">
        <f>IF($G43="","",IF(ABS($G43)&gt;=$E$2,"À investiguer",""))</f>
        <v/>
      </c>
    </row>
    <row r="44">
      <c r="C44" s="5" t="n"/>
      <c r="D44" s="5" t="n"/>
      <c r="E44">
        <f>IF($A44="","",IF(LEFT($A44,2)="40","Achats/Fournisseurs",IF(LEFT($A44,2)="41","Ventes/Clients",IF(OR(LEFT($A44,2)="42",LEFT($A44,2)="43"),"Personnel",IF(LEFT($A44,2)="44","État/Fiscal",IF(LEFT($A44,1)="1","Capitaux",IF(LEFT($A44,1)="2","Immobilisations",IF(LEFT($A44,1)="3","Stocks",IF(LEFT($A44,1)="5","Trésorerie",IF(LEFT($A44,1)="6","Charges",IF(LEFT($A44,1)="7","Produits",IF(LEFT($A44,1)="8","HAO","Autres")))))))))))))</f>
        <v/>
      </c>
      <c r="F44" s="5">
        <f>IF($A44="","",$C44-$D44)</f>
        <v/>
      </c>
      <c r="G44" s="3">
        <f>IF(OR($A44="",$D44=0),"",($C44-$D44)/ABS($D44))</f>
        <v/>
      </c>
      <c r="H44">
        <f>IF($G44="","",IF(ABS($G44)&gt;=$E$2,"À investiguer",""))</f>
        <v/>
      </c>
    </row>
    <row r="45">
      <c r="C45" s="5" t="n"/>
      <c r="D45" s="5" t="n"/>
      <c r="E45">
        <f>IF($A45="","",IF(LEFT($A45,2)="40","Achats/Fournisseurs",IF(LEFT($A45,2)="41","Ventes/Clients",IF(OR(LEFT($A45,2)="42",LEFT($A45,2)="43"),"Personnel",IF(LEFT($A45,2)="44","État/Fiscal",IF(LEFT($A45,1)="1","Capitaux",IF(LEFT($A45,1)="2","Immobilisations",IF(LEFT($A45,1)="3","Stocks",IF(LEFT($A45,1)="5","Trésorerie",IF(LEFT($A45,1)="6","Charges",IF(LEFT($A45,1)="7","Produits",IF(LEFT($A45,1)="8","HAO","Autres")))))))))))))</f>
        <v/>
      </c>
      <c r="F45" s="5">
        <f>IF($A45="","",$C45-$D45)</f>
        <v/>
      </c>
      <c r="G45" s="3">
        <f>IF(OR($A45="",$D45=0),"",($C45-$D45)/ABS($D45))</f>
        <v/>
      </c>
      <c r="H45">
        <f>IF($G45="","",IF(ABS($G45)&gt;=$E$2,"À investiguer",""))</f>
        <v/>
      </c>
    </row>
    <row r="46">
      <c r="C46" s="5" t="n"/>
      <c r="D46" s="5" t="n"/>
      <c r="E46">
        <f>IF($A46="","",IF(LEFT($A46,2)="40","Achats/Fournisseurs",IF(LEFT($A46,2)="41","Ventes/Clients",IF(OR(LEFT($A46,2)="42",LEFT($A46,2)="43"),"Personnel",IF(LEFT($A46,2)="44","État/Fiscal",IF(LEFT($A46,1)="1","Capitaux",IF(LEFT($A46,1)="2","Immobilisations",IF(LEFT($A46,1)="3","Stocks",IF(LEFT($A46,1)="5","Trésorerie",IF(LEFT($A46,1)="6","Charges",IF(LEFT($A46,1)="7","Produits",IF(LEFT($A46,1)="8","HAO","Autres")))))))))))))</f>
        <v/>
      </c>
      <c r="F46" s="5">
        <f>IF($A46="","",$C46-$D46)</f>
        <v/>
      </c>
      <c r="G46" s="3">
        <f>IF(OR($A46="",$D46=0),"",($C46-$D46)/ABS($D46))</f>
        <v/>
      </c>
      <c r="H46">
        <f>IF($G46="","",IF(ABS($G46)&gt;=$E$2,"À investiguer",""))</f>
        <v/>
      </c>
    </row>
    <row r="47">
      <c r="C47" s="5" t="n"/>
      <c r="D47" s="5" t="n"/>
      <c r="E47">
        <f>IF($A47="","",IF(LEFT($A47,2)="40","Achats/Fournisseurs",IF(LEFT($A47,2)="41","Ventes/Clients",IF(OR(LEFT($A47,2)="42",LEFT($A47,2)="43"),"Personnel",IF(LEFT($A47,2)="44","État/Fiscal",IF(LEFT($A47,1)="1","Capitaux",IF(LEFT($A47,1)="2","Immobilisations",IF(LEFT($A47,1)="3","Stocks",IF(LEFT($A47,1)="5","Trésorerie",IF(LEFT($A47,1)="6","Charges",IF(LEFT($A47,1)="7","Produits",IF(LEFT($A47,1)="8","HAO","Autres")))))))))))))</f>
        <v/>
      </c>
      <c r="F47" s="5">
        <f>IF($A47="","",$C47-$D47)</f>
        <v/>
      </c>
      <c r="G47" s="3">
        <f>IF(OR($A47="",$D47=0),"",($C47-$D47)/ABS($D47))</f>
        <v/>
      </c>
      <c r="H47">
        <f>IF($G47="","",IF(ABS($G47)&gt;=$E$2,"À investiguer",""))</f>
        <v/>
      </c>
    </row>
    <row r="48">
      <c r="C48" s="5" t="n"/>
      <c r="D48" s="5" t="n"/>
      <c r="E48">
        <f>IF($A48="","",IF(LEFT($A48,2)="40","Achats/Fournisseurs",IF(LEFT($A48,2)="41","Ventes/Clients",IF(OR(LEFT($A48,2)="42",LEFT($A48,2)="43"),"Personnel",IF(LEFT($A48,2)="44","État/Fiscal",IF(LEFT($A48,1)="1","Capitaux",IF(LEFT($A48,1)="2","Immobilisations",IF(LEFT($A48,1)="3","Stocks",IF(LEFT($A48,1)="5","Trésorerie",IF(LEFT($A48,1)="6","Charges",IF(LEFT($A48,1)="7","Produits",IF(LEFT($A48,1)="8","HAO","Autres")))))))))))))</f>
        <v/>
      </c>
      <c r="F48" s="5">
        <f>IF($A48="","",$C48-$D48)</f>
        <v/>
      </c>
      <c r="G48" s="3">
        <f>IF(OR($A48="",$D48=0),"",($C48-$D48)/ABS($D48))</f>
        <v/>
      </c>
      <c r="H48">
        <f>IF($G48="","",IF(ABS($G48)&gt;=$E$2,"À investiguer",""))</f>
        <v/>
      </c>
    </row>
    <row r="49">
      <c r="C49" s="5" t="n"/>
      <c r="D49" s="5" t="n"/>
      <c r="E49">
        <f>IF($A49="","",IF(LEFT($A49,2)="40","Achats/Fournisseurs",IF(LEFT($A49,2)="41","Ventes/Clients",IF(OR(LEFT($A49,2)="42",LEFT($A49,2)="43"),"Personnel",IF(LEFT($A49,2)="44","État/Fiscal",IF(LEFT($A49,1)="1","Capitaux",IF(LEFT($A49,1)="2","Immobilisations",IF(LEFT($A49,1)="3","Stocks",IF(LEFT($A49,1)="5","Trésorerie",IF(LEFT($A49,1)="6","Charges",IF(LEFT($A49,1)="7","Produits",IF(LEFT($A49,1)="8","HAO","Autres")))))))))))))</f>
        <v/>
      </c>
      <c r="F49" s="5">
        <f>IF($A49="","",$C49-$D49)</f>
        <v/>
      </c>
      <c r="G49" s="3">
        <f>IF(OR($A49="",$D49=0),"",($C49-$D49)/ABS($D49))</f>
        <v/>
      </c>
      <c r="H49">
        <f>IF($G49="","",IF(ABS($G49)&gt;=$E$2,"À investiguer",""))</f>
        <v/>
      </c>
    </row>
    <row r="50">
      <c r="C50" s="5" t="n"/>
      <c r="D50" s="5" t="n"/>
      <c r="E50">
        <f>IF($A50="","",IF(LEFT($A50,2)="40","Achats/Fournisseurs",IF(LEFT($A50,2)="41","Ventes/Clients",IF(OR(LEFT($A50,2)="42",LEFT($A50,2)="43"),"Personnel",IF(LEFT($A50,2)="44","État/Fiscal",IF(LEFT($A50,1)="1","Capitaux",IF(LEFT($A50,1)="2","Immobilisations",IF(LEFT($A50,1)="3","Stocks",IF(LEFT($A50,1)="5","Trésorerie",IF(LEFT($A50,1)="6","Charges",IF(LEFT($A50,1)="7","Produits",IF(LEFT($A50,1)="8","HAO","Autres")))))))))))))</f>
        <v/>
      </c>
      <c r="F50" s="5">
        <f>IF($A50="","",$C50-$D50)</f>
        <v/>
      </c>
      <c r="G50" s="3">
        <f>IF(OR($A50="",$D50=0),"",($C50-$D50)/ABS($D50))</f>
        <v/>
      </c>
      <c r="H50">
        <f>IF($G50="","",IF(ABS($G50)&gt;=$E$2,"À investiguer",""))</f>
        <v/>
      </c>
    </row>
    <row r="51">
      <c r="C51" s="5" t="n"/>
      <c r="D51" s="5" t="n"/>
      <c r="E51">
        <f>IF($A51="","",IF(LEFT($A51,2)="40","Achats/Fournisseurs",IF(LEFT($A51,2)="41","Ventes/Clients",IF(OR(LEFT($A51,2)="42",LEFT($A51,2)="43"),"Personnel",IF(LEFT($A51,2)="44","État/Fiscal",IF(LEFT($A51,1)="1","Capitaux",IF(LEFT($A51,1)="2","Immobilisations",IF(LEFT($A51,1)="3","Stocks",IF(LEFT($A51,1)="5","Trésorerie",IF(LEFT($A51,1)="6","Charges",IF(LEFT($A51,1)="7","Produits",IF(LEFT($A51,1)="8","HAO","Autres")))))))))))))</f>
        <v/>
      </c>
      <c r="F51" s="5">
        <f>IF($A51="","",$C51-$D51)</f>
        <v/>
      </c>
      <c r="G51" s="3">
        <f>IF(OR($A51="",$D51=0),"",($C51-$D51)/ABS($D51))</f>
        <v/>
      </c>
      <c r="H51">
        <f>IF($G51="","",IF(ABS($G51)&gt;=$E$2,"À investiguer",""))</f>
        <v/>
      </c>
    </row>
    <row r="52">
      <c r="C52" s="5" t="n"/>
      <c r="D52" s="5" t="n"/>
      <c r="E52">
        <f>IF($A52="","",IF(LEFT($A52,2)="40","Achats/Fournisseurs",IF(LEFT($A52,2)="41","Ventes/Clients",IF(OR(LEFT($A52,2)="42",LEFT($A52,2)="43"),"Personnel",IF(LEFT($A52,2)="44","État/Fiscal",IF(LEFT($A52,1)="1","Capitaux",IF(LEFT($A52,1)="2","Immobilisations",IF(LEFT($A52,1)="3","Stocks",IF(LEFT($A52,1)="5","Trésorerie",IF(LEFT($A52,1)="6","Charges",IF(LEFT($A52,1)="7","Produits",IF(LEFT($A52,1)="8","HAO","Autres")))))))))))))</f>
        <v/>
      </c>
      <c r="F52" s="5">
        <f>IF($A52="","",$C52-$D52)</f>
        <v/>
      </c>
      <c r="G52" s="3">
        <f>IF(OR($A52="",$D52=0),"",($C52-$D52)/ABS($D52))</f>
        <v/>
      </c>
      <c r="H52">
        <f>IF($G52="","",IF(ABS($G52)&gt;=$E$2,"À investiguer",""))</f>
        <v/>
      </c>
    </row>
    <row r="53">
      <c r="C53" s="5" t="n"/>
      <c r="D53" s="5" t="n"/>
      <c r="E53">
        <f>IF($A53="","",IF(LEFT($A53,2)="40","Achats/Fournisseurs",IF(LEFT($A53,2)="41","Ventes/Clients",IF(OR(LEFT($A53,2)="42",LEFT($A53,2)="43"),"Personnel",IF(LEFT($A53,2)="44","État/Fiscal",IF(LEFT($A53,1)="1","Capitaux",IF(LEFT($A53,1)="2","Immobilisations",IF(LEFT($A53,1)="3","Stocks",IF(LEFT($A53,1)="5","Trésorerie",IF(LEFT($A53,1)="6","Charges",IF(LEFT($A53,1)="7","Produits",IF(LEFT($A53,1)="8","HAO","Autres")))))))))))))</f>
        <v/>
      </c>
      <c r="F53" s="5">
        <f>IF($A53="","",$C53-$D53)</f>
        <v/>
      </c>
      <c r="G53" s="3">
        <f>IF(OR($A53="",$D53=0),"",($C53-$D53)/ABS($D53))</f>
        <v/>
      </c>
      <c r="H53">
        <f>IF($G53="","",IF(ABS($G53)&gt;=$E$2,"À investiguer",""))</f>
        <v/>
      </c>
    </row>
    <row r="54">
      <c r="C54" s="5" t="n"/>
      <c r="D54" s="5" t="n"/>
      <c r="E54">
        <f>IF($A54="","",IF(LEFT($A54,2)="40","Achats/Fournisseurs",IF(LEFT($A54,2)="41","Ventes/Clients",IF(OR(LEFT($A54,2)="42",LEFT($A54,2)="43"),"Personnel",IF(LEFT($A54,2)="44","État/Fiscal",IF(LEFT($A54,1)="1","Capitaux",IF(LEFT($A54,1)="2","Immobilisations",IF(LEFT($A54,1)="3","Stocks",IF(LEFT($A54,1)="5","Trésorerie",IF(LEFT($A54,1)="6","Charges",IF(LEFT($A54,1)="7","Produits",IF(LEFT($A54,1)="8","HAO","Autres")))))))))))))</f>
        <v/>
      </c>
      <c r="F54" s="5">
        <f>IF($A54="","",$C54-$D54)</f>
        <v/>
      </c>
      <c r="G54" s="3">
        <f>IF(OR($A54="",$D54=0),"",($C54-$D54)/ABS($D54))</f>
        <v/>
      </c>
      <c r="H54">
        <f>IF($G54="","",IF(ABS($G54)&gt;=$E$2,"À investiguer",""))</f>
        <v/>
      </c>
    </row>
    <row r="55">
      <c r="C55" s="5" t="n"/>
      <c r="D55" s="5" t="n"/>
      <c r="E55">
        <f>IF($A55="","",IF(LEFT($A55,2)="40","Achats/Fournisseurs",IF(LEFT($A55,2)="41","Ventes/Clients",IF(OR(LEFT($A55,2)="42",LEFT($A55,2)="43"),"Personnel",IF(LEFT($A55,2)="44","État/Fiscal",IF(LEFT($A55,1)="1","Capitaux",IF(LEFT($A55,1)="2","Immobilisations",IF(LEFT($A55,1)="3","Stocks",IF(LEFT($A55,1)="5","Trésorerie",IF(LEFT($A55,1)="6","Charges",IF(LEFT($A55,1)="7","Produits",IF(LEFT($A55,1)="8","HAO","Autres")))))))))))))</f>
        <v/>
      </c>
      <c r="F55" s="5">
        <f>IF($A55="","",$C55-$D55)</f>
        <v/>
      </c>
      <c r="G55" s="3">
        <f>IF(OR($A55="",$D55=0),"",($C55-$D55)/ABS($D55))</f>
        <v/>
      </c>
      <c r="H55">
        <f>IF($G55="","",IF(ABS($G55)&gt;=$E$2,"À investiguer",""))</f>
        <v/>
      </c>
    </row>
    <row r="56">
      <c r="C56" s="5" t="n"/>
      <c r="D56" s="5" t="n"/>
      <c r="E56">
        <f>IF($A56="","",IF(LEFT($A56,2)="40","Achats/Fournisseurs",IF(LEFT($A56,2)="41","Ventes/Clients",IF(OR(LEFT($A56,2)="42",LEFT($A56,2)="43"),"Personnel",IF(LEFT($A56,2)="44","État/Fiscal",IF(LEFT($A56,1)="1","Capitaux",IF(LEFT($A56,1)="2","Immobilisations",IF(LEFT($A56,1)="3","Stocks",IF(LEFT($A56,1)="5","Trésorerie",IF(LEFT($A56,1)="6","Charges",IF(LEFT($A56,1)="7","Produits",IF(LEFT($A56,1)="8","HAO","Autres")))))))))))))</f>
        <v/>
      </c>
      <c r="F56" s="5">
        <f>IF($A56="","",$C56-$D56)</f>
        <v/>
      </c>
      <c r="G56" s="3">
        <f>IF(OR($A56="",$D56=0),"",($C56-$D56)/ABS($D56))</f>
        <v/>
      </c>
      <c r="H56">
        <f>IF($G56="","",IF(ABS($G56)&gt;=$E$2,"À investiguer",""))</f>
        <v/>
      </c>
    </row>
    <row r="57">
      <c r="C57" s="5" t="n"/>
      <c r="D57" s="5" t="n"/>
      <c r="E57">
        <f>IF($A57="","",IF(LEFT($A57,2)="40","Achats/Fournisseurs",IF(LEFT($A57,2)="41","Ventes/Clients",IF(OR(LEFT($A57,2)="42",LEFT($A57,2)="43"),"Personnel",IF(LEFT($A57,2)="44","État/Fiscal",IF(LEFT($A57,1)="1","Capitaux",IF(LEFT($A57,1)="2","Immobilisations",IF(LEFT($A57,1)="3","Stocks",IF(LEFT($A57,1)="5","Trésorerie",IF(LEFT($A57,1)="6","Charges",IF(LEFT($A57,1)="7","Produits",IF(LEFT($A57,1)="8","HAO","Autres")))))))))))))</f>
        <v/>
      </c>
      <c r="F57" s="5">
        <f>IF($A57="","",$C57-$D57)</f>
        <v/>
      </c>
      <c r="G57" s="3">
        <f>IF(OR($A57="",$D57=0),"",($C57-$D57)/ABS($D57))</f>
        <v/>
      </c>
      <c r="H57">
        <f>IF($G57="","",IF(ABS($G57)&gt;=$E$2,"À investiguer",""))</f>
        <v/>
      </c>
    </row>
    <row r="58">
      <c r="C58" s="5" t="n"/>
      <c r="D58" s="5" t="n"/>
      <c r="E58">
        <f>IF($A58="","",IF(LEFT($A58,2)="40","Achats/Fournisseurs",IF(LEFT($A58,2)="41","Ventes/Clients",IF(OR(LEFT($A58,2)="42",LEFT($A58,2)="43"),"Personnel",IF(LEFT($A58,2)="44","État/Fiscal",IF(LEFT($A58,1)="1","Capitaux",IF(LEFT($A58,1)="2","Immobilisations",IF(LEFT($A58,1)="3","Stocks",IF(LEFT($A58,1)="5","Trésorerie",IF(LEFT($A58,1)="6","Charges",IF(LEFT($A58,1)="7","Produits",IF(LEFT($A58,1)="8","HAO","Autres")))))))))))))</f>
        <v/>
      </c>
      <c r="F58" s="5">
        <f>IF($A58="","",$C58-$D58)</f>
        <v/>
      </c>
      <c r="G58" s="3">
        <f>IF(OR($A58="",$D58=0),"",($C58-$D58)/ABS($D58))</f>
        <v/>
      </c>
      <c r="H58">
        <f>IF($G58="","",IF(ABS($G58)&gt;=$E$2,"À investiguer",""))</f>
        <v/>
      </c>
    </row>
    <row r="59">
      <c r="C59" s="5" t="n"/>
      <c r="D59" s="5" t="n"/>
      <c r="E59">
        <f>IF($A59="","",IF(LEFT($A59,2)="40","Achats/Fournisseurs",IF(LEFT($A59,2)="41","Ventes/Clients",IF(OR(LEFT($A59,2)="42",LEFT($A59,2)="43"),"Personnel",IF(LEFT($A59,2)="44","État/Fiscal",IF(LEFT($A59,1)="1","Capitaux",IF(LEFT($A59,1)="2","Immobilisations",IF(LEFT($A59,1)="3","Stocks",IF(LEFT($A59,1)="5","Trésorerie",IF(LEFT($A59,1)="6","Charges",IF(LEFT($A59,1)="7","Produits",IF(LEFT($A59,1)="8","HAO","Autres")))))))))))))</f>
        <v/>
      </c>
      <c r="F59" s="5">
        <f>IF($A59="","",$C59-$D59)</f>
        <v/>
      </c>
      <c r="G59" s="3">
        <f>IF(OR($A59="",$D59=0),"",($C59-$D59)/ABS($D59))</f>
        <v/>
      </c>
      <c r="H59">
        <f>IF($G59="","",IF(ABS($G59)&gt;=$E$2,"À investiguer",""))</f>
        <v/>
      </c>
    </row>
    <row r="60">
      <c r="C60" s="5" t="n"/>
      <c r="D60" s="5" t="n"/>
      <c r="E60">
        <f>IF($A60="","",IF(LEFT($A60,2)="40","Achats/Fournisseurs",IF(LEFT($A60,2)="41","Ventes/Clients",IF(OR(LEFT($A60,2)="42",LEFT($A60,2)="43"),"Personnel",IF(LEFT($A60,2)="44","État/Fiscal",IF(LEFT($A60,1)="1","Capitaux",IF(LEFT($A60,1)="2","Immobilisations",IF(LEFT($A60,1)="3","Stocks",IF(LEFT($A60,1)="5","Trésorerie",IF(LEFT($A60,1)="6","Charges",IF(LEFT($A60,1)="7","Produits",IF(LEFT($A60,1)="8","HAO","Autres")))))))))))))</f>
        <v/>
      </c>
      <c r="F60" s="5">
        <f>IF($A60="","",$C60-$D60)</f>
        <v/>
      </c>
      <c r="G60" s="3">
        <f>IF(OR($A60="",$D60=0),"",($C60-$D60)/ABS($D60))</f>
        <v/>
      </c>
      <c r="H60">
        <f>IF($G60="","",IF(ABS($G60)&gt;=$E$2,"À investiguer",""))</f>
        <v/>
      </c>
    </row>
    <row r="61">
      <c r="C61" s="5" t="n"/>
      <c r="D61" s="5" t="n"/>
      <c r="E61">
        <f>IF($A61="","",IF(LEFT($A61,2)="40","Achats/Fournisseurs",IF(LEFT($A61,2)="41","Ventes/Clients",IF(OR(LEFT($A61,2)="42",LEFT($A61,2)="43"),"Personnel",IF(LEFT($A61,2)="44","État/Fiscal",IF(LEFT($A61,1)="1","Capitaux",IF(LEFT($A61,1)="2","Immobilisations",IF(LEFT($A61,1)="3","Stocks",IF(LEFT($A61,1)="5","Trésorerie",IF(LEFT($A61,1)="6","Charges",IF(LEFT($A61,1)="7","Produits",IF(LEFT($A61,1)="8","HAO","Autres")))))))))))))</f>
        <v/>
      </c>
      <c r="F61" s="5">
        <f>IF($A61="","",$C61-$D61)</f>
        <v/>
      </c>
      <c r="G61" s="3">
        <f>IF(OR($A61="",$D61=0),"",($C61-$D61)/ABS($D61))</f>
        <v/>
      </c>
      <c r="H61">
        <f>IF($G61="","",IF(ABS($G61)&gt;=$E$2,"À investiguer",""))</f>
        <v/>
      </c>
    </row>
    <row r="62">
      <c r="C62" s="5" t="n"/>
      <c r="D62" s="5" t="n"/>
      <c r="E62">
        <f>IF($A62="","",IF(LEFT($A62,2)="40","Achats/Fournisseurs",IF(LEFT($A62,2)="41","Ventes/Clients",IF(OR(LEFT($A62,2)="42",LEFT($A62,2)="43"),"Personnel",IF(LEFT($A62,2)="44","État/Fiscal",IF(LEFT($A62,1)="1","Capitaux",IF(LEFT($A62,1)="2","Immobilisations",IF(LEFT($A62,1)="3","Stocks",IF(LEFT($A62,1)="5","Trésorerie",IF(LEFT($A62,1)="6","Charges",IF(LEFT($A62,1)="7","Produits",IF(LEFT($A62,1)="8","HAO","Autres")))))))))))))</f>
        <v/>
      </c>
      <c r="F62" s="5">
        <f>IF($A62="","",$C62-$D62)</f>
        <v/>
      </c>
      <c r="G62" s="3">
        <f>IF(OR($A62="",$D62=0),"",($C62-$D62)/ABS($D62))</f>
        <v/>
      </c>
      <c r="H62">
        <f>IF($G62="","",IF(ABS($G62)&gt;=$E$2,"À investiguer",""))</f>
        <v/>
      </c>
    </row>
    <row r="63">
      <c r="C63" s="5" t="n"/>
      <c r="D63" s="5" t="n"/>
      <c r="E63">
        <f>IF($A63="","",IF(LEFT($A63,2)="40","Achats/Fournisseurs",IF(LEFT($A63,2)="41","Ventes/Clients",IF(OR(LEFT($A63,2)="42",LEFT($A63,2)="43"),"Personnel",IF(LEFT($A63,2)="44","État/Fiscal",IF(LEFT($A63,1)="1","Capitaux",IF(LEFT($A63,1)="2","Immobilisations",IF(LEFT($A63,1)="3","Stocks",IF(LEFT($A63,1)="5","Trésorerie",IF(LEFT($A63,1)="6","Charges",IF(LEFT($A63,1)="7","Produits",IF(LEFT($A63,1)="8","HAO","Autres")))))))))))))</f>
        <v/>
      </c>
      <c r="F63" s="5">
        <f>IF($A63="","",$C63-$D63)</f>
        <v/>
      </c>
      <c r="G63" s="3">
        <f>IF(OR($A63="",$D63=0),"",($C63-$D63)/ABS($D63))</f>
        <v/>
      </c>
      <c r="H63">
        <f>IF($G63="","",IF(ABS($G63)&gt;=$E$2,"À investiguer",""))</f>
        <v/>
      </c>
    </row>
    <row r="64">
      <c r="C64" s="5" t="n"/>
      <c r="D64" s="5" t="n"/>
      <c r="E64">
        <f>IF($A64="","",IF(LEFT($A64,2)="40","Achats/Fournisseurs",IF(LEFT($A64,2)="41","Ventes/Clients",IF(OR(LEFT($A64,2)="42",LEFT($A64,2)="43"),"Personnel",IF(LEFT($A64,2)="44","État/Fiscal",IF(LEFT($A64,1)="1","Capitaux",IF(LEFT($A64,1)="2","Immobilisations",IF(LEFT($A64,1)="3","Stocks",IF(LEFT($A64,1)="5","Trésorerie",IF(LEFT($A64,1)="6","Charges",IF(LEFT($A64,1)="7","Produits",IF(LEFT($A64,1)="8","HAO","Autres")))))))))))))</f>
        <v/>
      </c>
      <c r="F64" s="5">
        <f>IF($A64="","",$C64-$D64)</f>
        <v/>
      </c>
      <c r="G64" s="3">
        <f>IF(OR($A64="",$D64=0),"",($C64-$D64)/ABS($D64))</f>
        <v/>
      </c>
      <c r="H64">
        <f>IF($G64="","",IF(ABS($G64)&gt;=$E$2,"À investiguer",""))</f>
        <v/>
      </c>
    </row>
    <row r="65">
      <c r="C65" s="5" t="n"/>
      <c r="D65" s="5" t="n"/>
      <c r="E65">
        <f>IF($A65="","",IF(LEFT($A65,2)="40","Achats/Fournisseurs",IF(LEFT($A65,2)="41","Ventes/Clients",IF(OR(LEFT($A65,2)="42",LEFT($A65,2)="43"),"Personnel",IF(LEFT($A65,2)="44","État/Fiscal",IF(LEFT($A65,1)="1","Capitaux",IF(LEFT($A65,1)="2","Immobilisations",IF(LEFT($A65,1)="3","Stocks",IF(LEFT($A65,1)="5","Trésorerie",IF(LEFT($A65,1)="6","Charges",IF(LEFT($A65,1)="7","Produits",IF(LEFT($A65,1)="8","HAO","Autres")))))))))))))</f>
        <v/>
      </c>
      <c r="F65" s="5">
        <f>IF($A65="","",$C65-$D65)</f>
        <v/>
      </c>
      <c r="G65" s="3">
        <f>IF(OR($A65="",$D65=0),"",($C65-$D65)/ABS($D65))</f>
        <v/>
      </c>
      <c r="H65">
        <f>IF($G65="","",IF(ABS($G65)&gt;=$E$2,"À investiguer",""))</f>
        <v/>
      </c>
    </row>
    <row r="66">
      <c r="C66" s="5" t="n"/>
      <c r="D66" s="5" t="n"/>
      <c r="E66">
        <f>IF($A66="","",IF(LEFT($A66,2)="40","Achats/Fournisseurs",IF(LEFT($A66,2)="41","Ventes/Clients",IF(OR(LEFT($A66,2)="42",LEFT($A66,2)="43"),"Personnel",IF(LEFT($A66,2)="44","État/Fiscal",IF(LEFT($A66,1)="1","Capitaux",IF(LEFT($A66,1)="2","Immobilisations",IF(LEFT($A66,1)="3","Stocks",IF(LEFT($A66,1)="5","Trésorerie",IF(LEFT($A66,1)="6","Charges",IF(LEFT($A66,1)="7","Produits",IF(LEFT($A66,1)="8","HAO","Autres")))))))))))))</f>
        <v/>
      </c>
      <c r="F66" s="5">
        <f>IF($A66="","",$C66-$D66)</f>
        <v/>
      </c>
      <c r="G66" s="3">
        <f>IF(OR($A66="",$D66=0),"",($C66-$D66)/ABS($D66))</f>
        <v/>
      </c>
      <c r="H66">
        <f>IF($G66="","",IF(ABS($G66)&gt;=$E$2,"À investiguer",""))</f>
        <v/>
      </c>
    </row>
    <row r="67">
      <c r="C67" s="5" t="n"/>
      <c r="D67" s="5" t="n"/>
      <c r="E67">
        <f>IF($A67="","",IF(LEFT($A67,2)="40","Achats/Fournisseurs",IF(LEFT($A67,2)="41","Ventes/Clients",IF(OR(LEFT($A67,2)="42",LEFT($A67,2)="43"),"Personnel",IF(LEFT($A67,2)="44","État/Fiscal",IF(LEFT($A67,1)="1","Capitaux",IF(LEFT($A67,1)="2","Immobilisations",IF(LEFT($A67,1)="3","Stocks",IF(LEFT($A67,1)="5","Trésorerie",IF(LEFT($A67,1)="6","Charges",IF(LEFT($A67,1)="7","Produits",IF(LEFT($A67,1)="8","HAO","Autres")))))))))))))</f>
        <v/>
      </c>
      <c r="F67" s="5">
        <f>IF($A67="","",$C67-$D67)</f>
        <v/>
      </c>
      <c r="G67" s="3">
        <f>IF(OR($A67="",$D67=0),"",($C67-$D67)/ABS($D67))</f>
        <v/>
      </c>
      <c r="H67">
        <f>IF($G67="","",IF(ABS($G67)&gt;=$E$2,"À investiguer",""))</f>
        <v/>
      </c>
    </row>
    <row r="68">
      <c r="C68" s="5" t="n"/>
      <c r="D68" s="5" t="n"/>
      <c r="E68">
        <f>IF($A68="","",IF(LEFT($A68,2)="40","Achats/Fournisseurs",IF(LEFT($A68,2)="41","Ventes/Clients",IF(OR(LEFT($A68,2)="42",LEFT($A68,2)="43"),"Personnel",IF(LEFT($A68,2)="44","État/Fiscal",IF(LEFT($A68,1)="1","Capitaux",IF(LEFT($A68,1)="2","Immobilisations",IF(LEFT($A68,1)="3","Stocks",IF(LEFT($A68,1)="5","Trésorerie",IF(LEFT($A68,1)="6","Charges",IF(LEFT($A68,1)="7","Produits",IF(LEFT($A68,1)="8","HAO","Autres")))))))))))))</f>
        <v/>
      </c>
      <c r="F68" s="5">
        <f>IF($A68="","",$C68-$D68)</f>
        <v/>
      </c>
      <c r="G68" s="3">
        <f>IF(OR($A68="",$D68=0),"",($C68-$D68)/ABS($D68))</f>
        <v/>
      </c>
      <c r="H68">
        <f>IF($G68="","",IF(ABS($G68)&gt;=$E$2,"À investiguer",""))</f>
        <v/>
      </c>
    </row>
    <row r="69">
      <c r="C69" s="5" t="n"/>
      <c r="D69" s="5" t="n"/>
      <c r="E69">
        <f>IF($A69="","",IF(LEFT($A69,2)="40","Achats/Fournisseurs",IF(LEFT($A69,2)="41","Ventes/Clients",IF(OR(LEFT($A69,2)="42",LEFT($A69,2)="43"),"Personnel",IF(LEFT($A69,2)="44","État/Fiscal",IF(LEFT($A69,1)="1","Capitaux",IF(LEFT($A69,1)="2","Immobilisations",IF(LEFT($A69,1)="3","Stocks",IF(LEFT($A69,1)="5","Trésorerie",IF(LEFT($A69,1)="6","Charges",IF(LEFT($A69,1)="7","Produits",IF(LEFT($A69,1)="8","HAO","Autres")))))))))))))</f>
        <v/>
      </c>
      <c r="F69" s="5">
        <f>IF($A69="","",$C69-$D69)</f>
        <v/>
      </c>
      <c r="G69" s="3">
        <f>IF(OR($A69="",$D69=0),"",($C69-$D69)/ABS($D69))</f>
        <v/>
      </c>
      <c r="H69">
        <f>IF($G69="","",IF(ABS($G69)&gt;=$E$2,"À investiguer",""))</f>
        <v/>
      </c>
    </row>
    <row r="70">
      <c r="C70" s="5" t="n"/>
      <c r="D70" s="5" t="n"/>
      <c r="E70">
        <f>IF($A70="","",IF(LEFT($A70,2)="40","Achats/Fournisseurs",IF(LEFT($A70,2)="41","Ventes/Clients",IF(OR(LEFT($A70,2)="42",LEFT($A70,2)="43"),"Personnel",IF(LEFT($A70,2)="44","État/Fiscal",IF(LEFT($A70,1)="1","Capitaux",IF(LEFT($A70,1)="2","Immobilisations",IF(LEFT($A70,1)="3","Stocks",IF(LEFT($A70,1)="5","Trésorerie",IF(LEFT($A70,1)="6","Charges",IF(LEFT($A70,1)="7","Produits",IF(LEFT($A70,1)="8","HAO","Autres")))))))))))))</f>
        <v/>
      </c>
      <c r="F70" s="5">
        <f>IF($A70="","",$C70-$D70)</f>
        <v/>
      </c>
      <c r="G70" s="3">
        <f>IF(OR($A70="",$D70=0),"",($C70-$D70)/ABS($D70))</f>
        <v/>
      </c>
      <c r="H70">
        <f>IF($G70="","",IF(ABS($G70)&gt;=$E$2,"À investiguer",""))</f>
        <v/>
      </c>
    </row>
    <row r="71">
      <c r="C71" s="5" t="n"/>
      <c r="D71" s="5" t="n"/>
      <c r="E71">
        <f>IF($A71="","",IF(LEFT($A71,2)="40","Achats/Fournisseurs",IF(LEFT($A71,2)="41","Ventes/Clients",IF(OR(LEFT($A71,2)="42",LEFT($A71,2)="43"),"Personnel",IF(LEFT($A71,2)="44","État/Fiscal",IF(LEFT($A71,1)="1","Capitaux",IF(LEFT($A71,1)="2","Immobilisations",IF(LEFT($A71,1)="3","Stocks",IF(LEFT($A71,1)="5","Trésorerie",IF(LEFT($A71,1)="6","Charges",IF(LEFT($A71,1)="7","Produits",IF(LEFT($A71,1)="8","HAO","Autres")))))))))))))</f>
        <v/>
      </c>
      <c r="F71" s="5">
        <f>IF($A71="","",$C71-$D71)</f>
        <v/>
      </c>
      <c r="G71" s="3">
        <f>IF(OR($A71="",$D71=0),"",($C71-$D71)/ABS($D71))</f>
        <v/>
      </c>
      <c r="H71">
        <f>IF($G71="","",IF(ABS($G71)&gt;=$E$2,"À investiguer",""))</f>
        <v/>
      </c>
    </row>
    <row r="72">
      <c r="C72" s="5" t="n"/>
      <c r="D72" s="5" t="n"/>
      <c r="E72">
        <f>IF($A72="","",IF(LEFT($A72,2)="40","Achats/Fournisseurs",IF(LEFT($A72,2)="41","Ventes/Clients",IF(OR(LEFT($A72,2)="42",LEFT($A72,2)="43"),"Personnel",IF(LEFT($A72,2)="44","État/Fiscal",IF(LEFT($A72,1)="1","Capitaux",IF(LEFT($A72,1)="2","Immobilisations",IF(LEFT($A72,1)="3","Stocks",IF(LEFT($A72,1)="5","Trésorerie",IF(LEFT($A72,1)="6","Charges",IF(LEFT($A72,1)="7","Produits",IF(LEFT($A72,1)="8","HAO","Autres")))))))))))))</f>
        <v/>
      </c>
      <c r="F72" s="5">
        <f>IF($A72="","",$C72-$D72)</f>
        <v/>
      </c>
      <c r="G72" s="3">
        <f>IF(OR($A72="",$D72=0),"",($C72-$D72)/ABS($D72))</f>
        <v/>
      </c>
      <c r="H72">
        <f>IF($G72="","",IF(ABS($G72)&gt;=$E$2,"À investiguer",""))</f>
        <v/>
      </c>
    </row>
    <row r="73">
      <c r="C73" s="5" t="n"/>
      <c r="D73" s="5" t="n"/>
      <c r="E73">
        <f>IF($A73="","",IF(LEFT($A73,2)="40","Achats/Fournisseurs",IF(LEFT($A73,2)="41","Ventes/Clients",IF(OR(LEFT($A73,2)="42",LEFT($A73,2)="43"),"Personnel",IF(LEFT($A73,2)="44","État/Fiscal",IF(LEFT($A73,1)="1","Capitaux",IF(LEFT($A73,1)="2","Immobilisations",IF(LEFT($A73,1)="3","Stocks",IF(LEFT($A73,1)="5","Trésorerie",IF(LEFT($A73,1)="6","Charges",IF(LEFT($A73,1)="7","Produits",IF(LEFT($A73,1)="8","HAO","Autres")))))))))))))</f>
        <v/>
      </c>
      <c r="F73" s="5">
        <f>IF($A73="","",$C73-$D73)</f>
        <v/>
      </c>
      <c r="G73" s="3">
        <f>IF(OR($A73="",$D73=0),"",($C73-$D73)/ABS($D73))</f>
        <v/>
      </c>
      <c r="H73">
        <f>IF($G73="","",IF(ABS($G73)&gt;=$E$2,"À investiguer",""))</f>
        <v/>
      </c>
    </row>
    <row r="74">
      <c r="C74" s="5" t="n"/>
      <c r="D74" s="5" t="n"/>
      <c r="E74">
        <f>IF($A74="","",IF(LEFT($A74,2)="40","Achats/Fournisseurs",IF(LEFT($A74,2)="41","Ventes/Clients",IF(OR(LEFT($A74,2)="42",LEFT($A74,2)="43"),"Personnel",IF(LEFT($A74,2)="44","État/Fiscal",IF(LEFT($A74,1)="1","Capitaux",IF(LEFT($A74,1)="2","Immobilisations",IF(LEFT($A74,1)="3","Stocks",IF(LEFT($A74,1)="5","Trésorerie",IF(LEFT($A74,1)="6","Charges",IF(LEFT($A74,1)="7","Produits",IF(LEFT($A74,1)="8","HAO","Autres")))))))))))))</f>
        <v/>
      </c>
      <c r="F74" s="5">
        <f>IF($A74="","",$C74-$D74)</f>
        <v/>
      </c>
      <c r="G74" s="3">
        <f>IF(OR($A74="",$D74=0),"",($C74-$D74)/ABS($D74))</f>
        <v/>
      </c>
      <c r="H74">
        <f>IF($G74="","",IF(ABS($G74)&gt;=$E$2,"À investiguer",""))</f>
        <v/>
      </c>
    </row>
    <row r="75">
      <c r="C75" s="5" t="n"/>
      <c r="D75" s="5" t="n"/>
      <c r="E75">
        <f>IF($A75="","",IF(LEFT($A75,2)="40","Achats/Fournisseurs",IF(LEFT($A75,2)="41","Ventes/Clients",IF(OR(LEFT($A75,2)="42",LEFT($A75,2)="43"),"Personnel",IF(LEFT($A75,2)="44","État/Fiscal",IF(LEFT($A75,1)="1","Capitaux",IF(LEFT($A75,1)="2","Immobilisations",IF(LEFT($A75,1)="3","Stocks",IF(LEFT($A75,1)="5","Trésorerie",IF(LEFT($A75,1)="6","Charges",IF(LEFT($A75,1)="7","Produits",IF(LEFT($A75,1)="8","HAO","Autres")))))))))))))</f>
        <v/>
      </c>
      <c r="F75" s="5">
        <f>IF($A75="","",$C75-$D75)</f>
        <v/>
      </c>
      <c r="G75" s="3">
        <f>IF(OR($A75="",$D75=0),"",($C75-$D75)/ABS($D75))</f>
        <v/>
      </c>
      <c r="H75">
        <f>IF($G75="","",IF(ABS($G75)&gt;=$E$2,"À investiguer",""))</f>
        <v/>
      </c>
    </row>
    <row r="76">
      <c r="C76" s="5" t="n"/>
      <c r="D76" s="5" t="n"/>
      <c r="E76">
        <f>IF($A76="","",IF(LEFT($A76,2)="40","Achats/Fournisseurs",IF(LEFT($A76,2)="41","Ventes/Clients",IF(OR(LEFT($A76,2)="42",LEFT($A76,2)="43"),"Personnel",IF(LEFT($A76,2)="44","État/Fiscal",IF(LEFT($A76,1)="1","Capitaux",IF(LEFT($A76,1)="2","Immobilisations",IF(LEFT($A76,1)="3","Stocks",IF(LEFT($A76,1)="5","Trésorerie",IF(LEFT($A76,1)="6","Charges",IF(LEFT($A76,1)="7","Produits",IF(LEFT($A76,1)="8","HAO","Autres")))))))))))))</f>
        <v/>
      </c>
      <c r="F76" s="5">
        <f>IF($A76="","",$C76-$D76)</f>
        <v/>
      </c>
      <c r="G76" s="3">
        <f>IF(OR($A76="",$D76=0),"",($C76-$D76)/ABS($D76))</f>
        <v/>
      </c>
      <c r="H76">
        <f>IF($G76="","",IF(ABS($G76)&gt;=$E$2,"À investiguer",""))</f>
        <v/>
      </c>
    </row>
    <row r="77">
      <c r="C77" s="5" t="n"/>
      <c r="D77" s="5" t="n"/>
      <c r="E77">
        <f>IF($A77="","",IF(LEFT($A77,2)="40","Achats/Fournisseurs",IF(LEFT($A77,2)="41","Ventes/Clients",IF(OR(LEFT($A77,2)="42",LEFT($A77,2)="43"),"Personnel",IF(LEFT($A77,2)="44","État/Fiscal",IF(LEFT($A77,1)="1","Capitaux",IF(LEFT($A77,1)="2","Immobilisations",IF(LEFT($A77,1)="3","Stocks",IF(LEFT($A77,1)="5","Trésorerie",IF(LEFT($A77,1)="6","Charges",IF(LEFT($A77,1)="7","Produits",IF(LEFT($A77,1)="8","HAO","Autres")))))))))))))</f>
        <v/>
      </c>
      <c r="F77" s="5">
        <f>IF($A77="","",$C77-$D77)</f>
        <v/>
      </c>
      <c r="G77" s="3">
        <f>IF(OR($A77="",$D77=0),"",($C77-$D77)/ABS($D77))</f>
        <v/>
      </c>
      <c r="H77">
        <f>IF($G77="","",IF(ABS($G77)&gt;=$E$2,"À investiguer",""))</f>
        <v/>
      </c>
    </row>
    <row r="78">
      <c r="C78" s="5" t="n"/>
      <c r="D78" s="5" t="n"/>
      <c r="E78">
        <f>IF($A78="","",IF(LEFT($A78,2)="40","Achats/Fournisseurs",IF(LEFT($A78,2)="41","Ventes/Clients",IF(OR(LEFT($A78,2)="42",LEFT($A78,2)="43"),"Personnel",IF(LEFT($A78,2)="44","État/Fiscal",IF(LEFT($A78,1)="1","Capitaux",IF(LEFT($A78,1)="2","Immobilisations",IF(LEFT($A78,1)="3","Stocks",IF(LEFT($A78,1)="5","Trésorerie",IF(LEFT($A78,1)="6","Charges",IF(LEFT($A78,1)="7","Produits",IF(LEFT($A78,1)="8","HAO","Autres")))))))))))))</f>
        <v/>
      </c>
      <c r="F78" s="5">
        <f>IF($A78="","",$C78-$D78)</f>
        <v/>
      </c>
      <c r="G78" s="3">
        <f>IF(OR($A78="",$D78=0),"",($C78-$D78)/ABS($D78))</f>
        <v/>
      </c>
      <c r="H78">
        <f>IF($G78="","",IF(ABS($G78)&gt;=$E$2,"À investiguer",""))</f>
        <v/>
      </c>
    </row>
    <row r="79">
      <c r="C79" s="5" t="n"/>
      <c r="D79" s="5" t="n"/>
      <c r="E79">
        <f>IF($A79="","",IF(LEFT($A79,2)="40","Achats/Fournisseurs",IF(LEFT($A79,2)="41","Ventes/Clients",IF(OR(LEFT($A79,2)="42",LEFT($A79,2)="43"),"Personnel",IF(LEFT($A79,2)="44","État/Fiscal",IF(LEFT($A79,1)="1","Capitaux",IF(LEFT($A79,1)="2","Immobilisations",IF(LEFT($A79,1)="3","Stocks",IF(LEFT($A79,1)="5","Trésorerie",IF(LEFT($A79,1)="6","Charges",IF(LEFT($A79,1)="7","Produits",IF(LEFT($A79,1)="8","HAO","Autres")))))))))))))</f>
        <v/>
      </c>
      <c r="F79" s="5">
        <f>IF($A79="","",$C79-$D79)</f>
        <v/>
      </c>
      <c r="G79" s="3">
        <f>IF(OR($A79="",$D79=0),"",($C79-$D79)/ABS($D79))</f>
        <v/>
      </c>
      <c r="H79">
        <f>IF($G79="","",IF(ABS($G79)&gt;=$E$2,"À investiguer",""))</f>
        <v/>
      </c>
    </row>
    <row r="80">
      <c r="C80" s="5" t="n"/>
      <c r="D80" s="5" t="n"/>
      <c r="E80">
        <f>IF($A80="","",IF(LEFT($A80,2)="40","Achats/Fournisseurs",IF(LEFT($A80,2)="41","Ventes/Clients",IF(OR(LEFT($A80,2)="42",LEFT($A80,2)="43"),"Personnel",IF(LEFT($A80,2)="44","État/Fiscal",IF(LEFT($A80,1)="1","Capitaux",IF(LEFT($A80,1)="2","Immobilisations",IF(LEFT($A80,1)="3","Stocks",IF(LEFT($A80,1)="5","Trésorerie",IF(LEFT($A80,1)="6","Charges",IF(LEFT($A80,1)="7","Produits",IF(LEFT($A80,1)="8","HAO","Autres")))))))))))))</f>
        <v/>
      </c>
      <c r="F80" s="5">
        <f>IF($A80="","",$C80-$D80)</f>
        <v/>
      </c>
      <c r="G80" s="3">
        <f>IF(OR($A80="",$D80=0),"",($C80-$D80)/ABS($D80))</f>
        <v/>
      </c>
      <c r="H80">
        <f>IF($G80="","",IF(ABS($G80)&gt;=$E$2,"À investiguer",""))</f>
        <v/>
      </c>
    </row>
    <row r="81">
      <c r="C81" s="5" t="n"/>
      <c r="D81" s="5" t="n"/>
      <c r="E81">
        <f>IF($A81="","",IF(LEFT($A81,2)="40","Achats/Fournisseurs",IF(LEFT($A81,2)="41","Ventes/Clients",IF(OR(LEFT($A81,2)="42",LEFT($A81,2)="43"),"Personnel",IF(LEFT($A81,2)="44","État/Fiscal",IF(LEFT($A81,1)="1","Capitaux",IF(LEFT($A81,1)="2","Immobilisations",IF(LEFT($A81,1)="3","Stocks",IF(LEFT($A81,1)="5","Trésorerie",IF(LEFT($A81,1)="6","Charges",IF(LEFT($A81,1)="7","Produits",IF(LEFT($A81,1)="8","HAO","Autres")))))))))))))</f>
        <v/>
      </c>
      <c r="F81" s="5">
        <f>IF($A81="","",$C81-$D81)</f>
        <v/>
      </c>
      <c r="G81" s="3">
        <f>IF(OR($A81="",$D81=0),"",($C81-$D81)/ABS($D81))</f>
        <v/>
      </c>
      <c r="H81">
        <f>IF($G81="","",IF(ABS($G81)&gt;=$E$2,"À investiguer",""))</f>
        <v/>
      </c>
    </row>
    <row r="82">
      <c r="C82" s="5" t="n"/>
      <c r="D82" s="5" t="n"/>
      <c r="E82">
        <f>IF($A82="","",IF(LEFT($A82,2)="40","Achats/Fournisseurs",IF(LEFT($A82,2)="41","Ventes/Clients",IF(OR(LEFT($A82,2)="42",LEFT($A82,2)="43"),"Personnel",IF(LEFT($A82,2)="44","État/Fiscal",IF(LEFT($A82,1)="1","Capitaux",IF(LEFT($A82,1)="2","Immobilisations",IF(LEFT($A82,1)="3","Stocks",IF(LEFT($A82,1)="5","Trésorerie",IF(LEFT($A82,1)="6","Charges",IF(LEFT($A82,1)="7","Produits",IF(LEFT($A82,1)="8","HAO","Autres")))))))))))))</f>
        <v/>
      </c>
      <c r="F82" s="5">
        <f>IF($A82="","",$C82-$D82)</f>
        <v/>
      </c>
      <c r="G82" s="3">
        <f>IF(OR($A82="",$D82=0),"",($C82-$D82)/ABS($D82))</f>
        <v/>
      </c>
      <c r="H82">
        <f>IF($G82="","",IF(ABS($G82)&gt;=$E$2,"À investiguer",""))</f>
        <v/>
      </c>
    </row>
    <row r="83">
      <c r="C83" s="5" t="n"/>
      <c r="D83" s="5" t="n"/>
      <c r="E83">
        <f>IF($A83="","",IF(LEFT($A83,2)="40","Achats/Fournisseurs",IF(LEFT($A83,2)="41","Ventes/Clients",IF(OR(LEFT($A83,2)="42",LEFT($A83,2)="43"),"Personnel",IF(LEFT($A83,2)="44","État/Fiscal",IF(LEFT($A83,1)="1","Capitaux",IF(LEFT($A83,1)="2","Immobilisations",IF(LEFT($A83,1)="3","Stocks",IF(LEFT($A83,1)="5","Trésorerie",IF(LEFT($A83,1)="6","Charges",IF(LEFT($A83,1)="7","Produits",IF(LEFT($A83,1)="8","HAO","Autres")))))))))))))</f>
        <v/>
      </c>
      <c r="F83" s="5">
        <f>IF($A83="","",$C83-$D83)</f>
        <v/>
      </c>
      <c r="G83" s="3">
        <f>IF(OR($A83="",$D83=0),"",($C83-$D83)/ABS($D83))</f>
        <v/>
      </c>
      <c r="H83">
        <f>IF($G83="","",IF(ABS($G83)&gt;=$E$2,"À investiguer",""))</f>
        <v/>
      </c>
    </row>
    <row r="84">
      <c r="C84" s="5" t="n"/>
      <c r="D84" s="5" t="n"/>
      <c r="E84">
        <f>IF($A84="","",IF(LEFT($A84,2)="40","Achats/Fournisseurs",IF(LEFT($A84,2)="41","Ventes/Clients",IF(OR(LEFT($A84,2)="42",LEFT($A84,2)="43"),"Personnel",IF(LEFT($A84,2)="44","État/Fiscal",IF(LEFT($A84,1)="1","Capitaux",IF(LEFT($A84,1)="2","Immobilisations",IF(LEFT($A84,1)="3","Stocks",IF(LEFT($A84,1)="5","Trésorerie",IF(LEFT($A84,1)="6","Charges",IF(LEFT($A84,1)="7","Produits",IF(LEFT($A84,1)="8","HAO","Autres")))))))))))))</f>
        <v/>
      </c>
      <c r="F84" s="5">
        <f>IF($A84="","",$C84-$D84)</f>
        <v/>
      </c>
      <c r="G84" s="3">
        <f>IF(OR($A84="",$D84=0),"",($C84-$D84)/ABS($D84))</f>
        <v/>
      </c>
      <c r="H84">
        <f>IF($G84="","",IF(ABS($G84)&gt;=$E$2,"À investiguer",""))</f>
        <v/>
      </c>
    </row>
    <row r="85">
      <c r="C85" s="5" t="n"/>
      <c r="D85" s="5" t="n"/>
      <c r="E85">
        <f>IF($A85="","",IF(LEFT($A85,2)="40","Achats/Fournisseurs",IF(LEFT($A85,2)="41","Ventes/Clients",IF(OR(LEFT($A85,2)="42",LEFT($A85,2)="43"),"Personnel",IF(LEFT($A85,2)="44","État/Fiscal",IF(LEFT($A85,1)="1","Capitaux",IF(LEFT($A85,1)="2","Immobilisations",IF(LEFT($A85,1)="3","Stocks",IF(LEFT($A85,1)="5","Trésorerie",IF(LEFT($A85,1)="6","Charges",IF(LEFT($A85,1)="7","Produits",IF(LEFT($A85,1)="8","HAO","Autres")))))))))))))</f>
        <v/>
      </c>
      <c r="F85" s="5">
        <f>IF($A85="","",$C85-$D85)</f>
        <v/>
      </c>
      <c r="G85" s="3">
        <f>IF(OR($A85="",$D85=0),"",($C85-$D85)/ABS($D85))</f>
        <v/>
      </c>
      <c r="H85">
        <f>IF($G85="","",IF(ABS($G85)&gt;=$E$2,"À investiguer",""))</f>
        <v/>
      </c>
    </row>
    <row r="86">
      <c r="C86" s="5" t="n"/>
      <c r="D86" s="5" t="n"/>
      <c r="E86">
        <f>IF($A86="","",IF(LEFT($A86,2)="40","Achats/Fournisseurs",IF(LEFT($A86,2)="41","Ventes/Clients",IF(OR(LEFT($A86,2)="42",LEFT($A86,2)="43"),"Personnel",IF(LEFT($A86,2)="44","État/Fiscal",IF(LEFT($A86,1)="1","Capitaux",IF(LEFT($A86,1)="2","Immobilisations",IF(LEFT($A86,1)="3","Stocks",IF(LEFT($A86,1)="5","Trésorerie",IF(LEFT($A86,1)="6","Charges",IF(LEFT($A86,1)="7","Produits",IF(LEFT($A86,1)="8","HAO","Autres")))))))))))))</f>
        <v/>
      </c>
      <c r="F86" s="5">
        <f>IF($A86="","",$C86-$D86)</f>
        <v/>
      </c>
      <c r="G86" s="3">
        <f>IF(OR($A86="",$D86=0),"",($C86-$D86)/ABS($D86))</f>
        <v/>
      </c>
      <c r="H86">
        <f>IF($G86="","",IF(ABS($G86)&gt;=$E$2,"À investiguer",""))</f>
        <v/>
      </c>
    </row>
    <row r="87">
      <c r="C87" s="5" t="n"/>
      <c r="D87" s="5" t="n"/>
      <c r="E87">
        <f>IF($A87="","",IF(LEFT($A87,2)="40","Achats/Fournisseurs",IF(LEFT($A87,2)="41","Ventes/Clients",IF(OR(LEFT($A87,2)="42",LEFT($A87,2)="43"),"Personnel",IF(LEFT($A87,2)="44","État/Fiscal",IF(LEFT($A87,1)="1","Capitaux",IF(LEFT($A87,1)="2","Immobilisations",IF(LEFT($A87,1)="3","Stocks",IF(LEFT($A87,1)="5","Trésorerie",IF(LEFT($A87,1)="6","Charges",IF(LEFT($A87,1)="7","Produits",IF(LEFT($A87,1)="8","HAO","Autres")))))))))))))</f>
        <v/>
      </c>
      <c r="F87" s="5">
        <f>IF($A87="","",$C87-$D87)</f>
        <v/>
      </c>
      <c r="G87" s="3">
        <f>IF(OR($A87="",$D87=0),"",($C87-$D87)/ABS($D87))</f>
        <v/>
      </c>
      <c r="H87">
        <f>IF($G87="","",IF(ABS($G87)&gt;=$E$2,"À investiguer",""))</f>
        <v/>
      </c>
    </row>
    <row r="88">
      <c r="C88" s="5" t="n"/>
      <c r="D88" s="5" t="n"/>
      <c r="E88">
        <f>IF($A88="","",IF(LEFT($A88,2)="40","Achats/Fournisseurs",IF(LEFT($A88,2)="41","Ventes/Clients",IF(OR(LEFT($A88,2)="42",LEFT($A88,2)="43"),"Personnel",IF(LEFT($A88,2)="44","État/Fiscal",IF(LEFT($A88,1)="1","Capitaux",IF(LEFT($A88,1)="2","Immobilisations",IF(LEFT($A88,1)="3","Stocks",IF(LEFT($A88,1)="5","Trésorerie",IF(LEFT($A88,1)="6","Charges",IF(LEFT($A88,1)="7","Produits",IF(LEFT($A88,1)="8","HAO","Autres")))))))))))))</f>
        <v/>
      </c>
      <c r="F88" s="5">
        <f>IF($A88="","",$C88-$D88)</f>
        <v/>
      </c>
      <c r="G88" s="3">
        <f>IF(OR($A88="",$D88=0),"",($C88-$D88)/ABS($D88))</f>
        <v/>
      </c>
      <c r="H88">
        <f>IF($G88="","",IF(ABS($G88)&gt;=$E$2,"À investiguer",""))</f>
        <v/>
      </c>
    </row>
    <row r="89">
      <c r="C89" s="5" t="n"/>
      <c r="D89" s="5" t="n"/>
      <c r="E89">
        <f>IF($A89="","",IF(LEFT($A89,2)="40","Achats/Fournisseurs",IF(LEFT($A89,2)="41","Ventes/Clients",IF(OR(LEFT($A89,2)="42",LEFT($A89,2)="43"),"Personnel",IF(LEFT($A89,2)="44","État/Fiscal",IF(LEFT($A89,1)="1","Capitaux",IF(LEFT($A89,1)="2","Immobilisations",IF(LEFT($A89,1)="3","Stocks",IF(LEFT($A89,1)="5","Trésorerie",IF(LEFT($A89,1)="6","Charges",IF(LEFT($A89,1)="7","Produits",IF(LEFT($A89,1)="8","HAO","Autres")))))))))))))</f>
        <v/>
      </c>
      <c r="F89" s="5">
        <f>IF($A89="","",$C89-$D89)</f>
        <v/>
      </c>
      <c r="G89" s="3">
        <f>IF(OR($A89="",$D89=0),"",($C89-$D89)/ABS($D89))</f>
        <v/>
      </c>
      <c r="H89">
        <f>IF($G89="","",IF(ABS($G89)&gt;=$E$2,"À investiguer",""))</f>
        <v/>
      </c>
    </row>
    <row r="90">
      <c r="C90" s="5" t="n"/>
      <c r="D90" s="5" t="n"/>
      <c r="E90">
        <f>IF($A90="","",IF(LEFT($A90,2)="40","Achats/Fournisseurs",IF(LEFT($A90,2)="41","Ventes/Clients",IF(OR(LEFT($A90,2)="42",LEFT($A90,2)="43"),"Personnel",IF(LEFT($A90,2)="44","État/Fiscal",IF(LEFT($A90,1)="1","Capitaux",IF(LEFT($A90,1)="2","Immobilisations",IF(LEFT($A90,1)="3","Stocks",IF(LEFT($A90,1)="5","Trésorerie",IF(LEFT($A90,1)="6","Charges",IF(LEFT($A90,1)="7","Produits",IF(LEFT($A90,1)="8","HAO","Autres")))))))))))))</f>
        <v/>
      </c>
      <c r="F90" s="5">
        <f>IF($A90="","",$C90-$D90)</f>
        <v/>
      </c>
      <c r="G90" s="3">
        <f>IF(OR($A90="",$D90=0),"",($C90-$D90)/ABS($D90))</f>
        <v/>
      </c>
      <c r="H90">
        <f>IF($G90="","",IF(ABS($G90)&gt;=$E$2,"À investiguer",""))</f>
        <v/>
      </c>
    </row>
    <row r="91">
      <c r="C91" s="5" t="n"/>
      <c r="D91" s="5" t="n"/>
      <c r="E91">
        <f>IF($A91="","",IF(LEFT($A91,2)="40","Achats/Fournisseurs",IF(LEFT($A91,2)="41","Ventes/Clients",IF(OR(LEFT($A91,2)="42",LEFT($A91,2)="43"),"Personnel",IF(LEFT($A91,2)="44","État/Fiscal",IF(LEFT($A91,1)="1","Capitaux",IF(LEFT($A91,1)="2","Immobilisations",IF(LEFT($A91,1)="3","Stocks",IF(LEFT($A91,1)="5","Trésorerie",IF(LEFT($A91,1)="6","Charges",IF(LEFT($A91,1)="7","Produits",IF(LEFT($A91,1)="8","HAO","Autres")))))))))))))</f>
        <v/>
      </c>
      <c r="F91" s="5">
        <f>IF($A91="","",$C91-$D91)</f>
        <v/>
      </c>
      <c r="G91" s="3">
        <f>IF(OR($A91="",$D91=0),"",($C91-$D91)/ABS($D91))</f>
        <v/>
      </c>
      <c r="H91">
        <f>IF($G91="","",IF(ABS($G91)&gt;=$E$2,"À investiguer",""))</f>
        <v/>
      </c>
    </row>
    <row r="92">
      <c r="C92" s="5" t="n"/>
      <c r="D92" s="5" t="n"/>
      <c r="E92">
        <f>IF($A92="","",IF(LEFT($A92,2)="40","Achats/Fournisseurs",IF(LEFT($A92,2)="41","Ventes/Clients",IF(OR(LEFT($A92,2)="42",LEFT($A92,2)="43"),"Personnel",IF(LEFT($A92,2)="44","État/Fiscal",IF(LEFT($A92,1)="1","Capitaux",IF(LEFT($A92,1)="2","Immobilisations",IF(LEFT($A92,1)="3","Stocks",IF(LEFT($A92,1)="5","Trésorerie",IF(LEFT($A92,1)="6","Charges",IF(LEFT($A92,1)="7","Produits",IF(LEFT($A92,1)="8","HAO","Autres")))))))))))))</f>
        <v/>
      </c>
      <c r="F92" s="5">
        <f>IF($A92="","",$C92-$D92)</f>
        <v/>
      </c>
      <c r="G92" s="3">
        <f>IF(OR($A92="",$D92=0),"",($C92-$D92)/ABS($D92))</f>
        <v/>
      </c>
      <c r="H92">
        <f>IF($G92="","",IF(ABS($G92)&gt;=$E$2,"À investiguer",""))</f>
        <v/>
      </c>
    </row>
    <row r="93">
      <c r="C93" s="5" t="n"/>
      <c r="D93" s="5" t="n"/>
      <c r="E93">
        <f>IF($A93="","",IF(LEFT($A93,2)="40","Achats/Fournisseurs",IF(LEFT($A93,2)="41","Ventes/Clients",IF(OR(LEFT($A93,2)="42",LEFT($A93,2)="43"),"Personnel",IF(LEFT($A93,2)="44","État/Fiscal",IF(LEFT($A93,1)="1","Capitaux",IF(LEFT($A93,1)="2","Immobilisations",IF(LEFT($A93,1)="3","Stocks",IF(LEFT($A93,1)="5","Trésorerie",IF(LEFT($A93,1)="6","Charges",IF(LEFT($A93,1)="7","Produits",IF(LEFT($A93,1)="8","HAO","Autres")))))))))))))</f>
        <v/>
      </c>
      <c r="F93" s="5">
        <f>IF($A93="","",$C93-$D93)</f>
        <v/>
      </c>
      <c r="G93" s="3">
        <f>IF(OR($A93="",$D93=0),"",($C93-$D93)/ABS($D93))</f>
        <v/>
      </c>
      <c r="H93">
        <f>IF($G93="","",IF(ABS($G93)&gt;=$E$2,"À investiguer",""))</f>
        <v/>
      </c>
    </row>
    <row r="94">
      <c r="C94" s="5" t="n"/>
      <c r="D94" s="5" t="n"/>
      <c r="E94">
        <f>IF($A94="","",IF(LEFT($A94,2)="40","Achats/Fournisseurs",IF(LEFT($A94,2)="41","Ventes/Clients",IF(OR(LEFT($A94,2)="42",LEFT($A94,2)="43"),"Personnel",IF(LEFT($A94,2)="44","État/Fiscal",IF(LEFT($A94,1)="1","Capitaux",IF(LEFT($A94,1)="2","Immobilisations",IF(LEFT($A94,1)="3","Stocks",IF(LEFT($A94,1)="5","Trésorerie",IF(LEFT($A94,1)="6","Charges",IF(LEFT($A94,1)="7","Produits",IF(LEFT($A94,1)="8","HAO","Autres")))))))))))))</f>
        <v/>
      </c>
      <c r="F94" s="5">
        <f>IF($A94="","",$C94-$D94)</f>
        <v/>
      </c>
      <c r="G94" s="3">
        <f>IF(OR($A94="",$D94=0),"",($C94-$D94)/ABS($D94))</f>
        <v/>
      </c>
      <c r="H94">
        <f>IF($G94="","",IF(ABS($G94)&gt;=$E$2,"À investiguer",""))</f>
        <v/>
      </c>
    </row>
    <row r="95">
      <c r="C95" s="5" t="n"/>
      <c r="D95" s="5" t="n"/>
      <c r="E95">
        <f>IF($A95="","",IF(LEFT($A95,2)="40","Achats/Fournisseurs",IF(LEFT($A95,2)="41","Ventes/Clients",IF(OR(LEFT($A95,2)="42",LEFT($A95,2)="43"),"Personnel",IF(LEFT($A95,2)="44","État/Fiscal",IF(LEFT($A95,1)="1","Capitaux",IF(LEFT($A95,1)="2","Immobilisations",IF(LEFT($A95,1)="3","Stocks",IF(LEFT($A95,1)="5","Trésorerie",IF(LEFT($A95,1)="6","Charges",IF(LEFT($A95,1)="7","Produits",IF(LEFT($A95,1)="8","HAO","Autres")))))))))))))</f>
        <v/>
      </c>
      <c r="F95" s="5">
        <f>IF($A95="","",$C95-$D95)</f>
        <v/>
      </c>
      <c r="G95" s="3">
        <f>IF(OR($A95="",$D95=0),"",($C95-$D95)/ABS($D95))</f>
        <v/>
      </c>
      <c r="H95">
        <f>IF($G95="","",IF(ABS($G95)&gt;=$E$2,"À investiguer",""))</f>
        <v/>
      </c>
    </row>
    <row r="96">
      <c r="C96" s="5" t="n"/>
      <c r="D96" s="5" t="n"/>
      <c r="E96">
        <f>IF($A96="","",IF(LEFT($A96,2)="40","Achats/Fournisseurs",IF(LEFT($A96,2)="41","Ventes/Clients",IF(OR(LEFT($A96,2)="42",LEFT($A96,2)="43"),"Personnel",IF(LEFT($A96,2)="44","État/Fiscal",IF(LEFT($A96,1)="1","Capitaux",IF(LEFT($A96,1)="2","Immobilisations",IF(LEFT($A96,1)="3","Stocks",IF(LEFT($A96,1)="5","Trésorerie",IF(LEFT($A96,1)="6","Charges",IF(LEFT($A96,1)="7","Produits",IF(LEFT($A96,1)="8","HAO","Autres")))))))))))))</f>
        <v/>
      </c>
      <c r="F96" s="5">
        <f>IF($A96="","",$C96-$D96)</f>
        <v/>
      </c>
      <c r="G96" s="3">
        <f>IF(OR($A96="",$D96=0),"",($C96-$D96)/ABS($D96))</f>
        <v/>
      </c>
      <c r="H96">
        <f>IF($G96="","",IF(ABS($G96)&gt;=$E$2,"À investiguer",""))</f>
        <v/>
      </c>
    </row>
    <row r="97">
      <c r="C97" s="5" t="n"/>
      <c r="D97" s="5" t="n"/>
      <c r="E97">
        <f>IF($A97="","",IF(LEFT($A97,2)="40","Achats/Fournisseurs",IF(LEFT($A97,2)="41","Ventes/Clients",IF(OR(LEFT($A97,2)="42",LEFT($A97,2)="43"),"Personnel",IF(LEFT($A97,2)="44","État/Fiscal",IF(LEFT($A97,1)="1","Capitaux",IF(LEFT($A97,1)="2","Immobilisations",IF(LEFT($A97,1)="3","Stocks",IF(LEFT($A97,1)="5","Trésorerie",IF(LEFT($A97,1)="6","Charges",IF(LEFT($A97,1)="7","Produits",IF(LEFT($A97,1)="8","HAO","Autres")))))))))))))</f>
        <v/>
      </c>
      <c r="F97" s="5">
        <f>IF($A97="","",$C97-$D97)</f>
        <v/>
      </c>
      <c r="G97" s="3">
        <f>IF(OR($A97="",$D97=0),"",($C97-$D97)/ABS($D97))</f>
        <v/>
      </c>
      <c r="H97">
        <f>IF($G97="","",IF(ABS($G97)&gt;=$E$2,"À investiguer",""))</f>
        <v/>
      </c>
    </row>
    <row r="98">
      <c r="C98" s="5" t="n"/>
      <c r="D98" s="5" t="n"/>
      <c r="E98">
        <f>IF($A98="","",IF(LEFT($A98,2)="40","Achats/Fournisseurs",IF(LEFT($A98,2)="41","Ventes/Clients",IF(OR(LEFT($A98,2)="42",LEFT($A98,2)="43"),"Personnel",IF(LEFT($A98,2)="44","État/Fiscal",IF(LEFT($A98,1)="1","Capitaux",IF(LEFT($A98,1)="2","Immobilisations",IF(LEFT($A98,1)="3","Stocks",IF(LEFT($A98,1)="5","Trésorerie",IF(LEFT($A98,1)="6","Charges",IF(LEFT($A98,1)="7","Produits",IF(LEFT($A98,1)="8","HAO","Autres")))))))))))))</f>
        <v/>
      </c>
      <c r="F98" s="5">
        <f>IF($A98="","",$C98-$D98)</f>
        <v/>
      </c>
      <c r="G98" s="3">
        <f>IF(OR($A98="",$D98=0),"",($C98-$D98)/ABS($D98))</f>
        <v/>
      </c>
      <c r="H98">
        <f>IF($G98="","",IF(ABS($G98)&gt;=$E$2,"À investiguer",""))</f>
        <v/>
      </c>
    </row>
    <row r="99">
      <c r="C99" s="5" t="n"/>
      <c r="D99" s="5" t="n"/>
      <c r="E99">
        <f>IF($A99="","",IF(LEFT($A99,2)="40","Achats/Fournisseurs",IF(LEFT($A99,2)="41","Ventes/Clients",IF(OR(LEFT($A99,2)="42",LEFT($A99,2)="43"),"Personnel",IF(LEFT($A99,2)="44","État/Fiscal",IF(LEFT($A99,1)="1","Capitaux",IF(LEFT($A99,1)="2","Immobilisations",IF(LEFT($A99,1)="3","Stocks",IF(LEFT($A99,1)="5","Trésorerie",IF(LEFT($A99,1)="6","Charges",IF(LEFT($A99,1)="7","Produits",IF(LEFT($A99,1)="8","HAO","Autres")))))))))))))</f>
        <v/>
      </c>
      <c r="F99" s="5">
        <f>IF($A99="","",$C99-$D99)</f>
        <v/>
      </c>
      <c r="G99" s="3">
        <f>IF(OR($A99="",$D99=0),"",($C99-$D99)/ABS($D99))</f>
        <v/>
      </c>
      <c r="H99">
        <f>IF($G99="","",IF(ABS($G99)&gt;=$E$2,"À investiguer",""))</f>
        <v/>
      </c>
    </row>
    <row r="100">
      <c r="C100" s="5" t="n"/>
      <c r="D100" s="5" t="n"/>
      <c r="E100">
        <f>IF($A100="","",IF(LEFT($A100,2)="40","Achats/Fournisseurs",IF(LEFT($A100,2)="41","Ventes/Clients",IF(OR(LEFT($A100,2)="42",LEFT($A100,2)="43"),"Personnel",IF(LEFT($A100,2)="44","État/Fiscal",IF(LEFT($A100,1)="1","Capitaux",IF(LEFT($A100,1)="2","Immobilisations",IF(LEFT($A100,1)="3","Stocks",IF(LEFT($A100,1)="5","Trésorerie",IF(LEFT($A100,1)="6","Charges",IF(LEFT($A100,1)="7","Produits",IF(LEFT($A100,1)="8","HAO","Autres")))))))))))))</f>
        <v/>
      </c>
      <c r="F100" s="5">
        <f>IF($A100="","",$C100-$D100)</f>
        <v/>
      </c>
      <c r="G100" s="3">
        <f>IF(OR($A100="",$D100=0),"",($C100-$D100)/ABS($D100))</f>
        <v/>
      </c>
      <c r="H100">
        <f>IF($G100="","",IF(ABS($G100)&gt;=$E$2,"À investiguer",""))</f>
        <v/>
      </c>
    </row>
    <row r="101">
      <c r="C101" s="5" t="n"/>
      <c r="D101" s="5" t="n"/>
      <c r="E101">
        <f>IF($A101="","",IF(LEFT($A101,2)="40","Achats/Fournisseurs",IF(LEFT($A101,2)="41","Ventes/Clients",IF(OR(LEFT($A101,2)="42",LEFT($A101,2)="43"),"Personnel",IF(LEFT($A101,2)="44","État/Fiscal",IF(LEFT($A101,1)="1","Capitaux",IF(LEFT($A101,1)="2","Immobilisations",IF(LEFT($A101,1)="3","Stocks",IF(LEFT($A101,1)="5","Trésorerie",IF(LEFT($A101,1)="6","Charges",IF(LEFT($A101,1)="7","Produits",IF(LEFT($A101,1)="8","HAO","Autres")))))))))))))</f>
        <v/>
      </c>
      <c r="F101" s="5">
        <f>IF($A101="","",$C101-$D101)</f>
        <v/>
      </c>
      <c r="G101" s="3">
        <f>IF(OR($A101="",$D101=0),"",($C101-$D101)/ABS($D101))</f>
        <v/>
      </c>
      <c r="H101">
        <f>IF($G101="","",IF(ABS($G101)&gt;=$E$2,"À investiguer",""))</f>
        <v/>
      </c>
    </row>
    <row r="102">
      <c r="C102" s="5" t="n"/>
      <c r="D102" s="5" t="n"/>
      <c r="E102">
        <f>IF($A102="","",IF(LEFT($A102,2)="40","Achats/Fournisseurs",IF(LEFT($A102,2)="41","Ventes/Clients",IF(OR(LEFT($A102,2)="42",LEFT($A102,2)="43"),"Personnel",IF(LEFT($A102,2)="44","État/Fiscal",IF(LEFT($A102,1)="1","Capitaux",IF(LEFT($A102,1)="2","Immobilisations",IF(LEFT($A102,1)="3","Stocks",IF(LEFT($A102,1)="5","Trésorerie",IF(LEFT($A102,1)="6","Charges",IF(LEFT($A102,1)="7","Produits",IF(LEFT($A102,1)="8","HAO","Autres")))))))))))))</f>
        <v/>
      </c>
      <c r="F102" s="5">
        <f>IF($A102="","",$C102-$D102)</f>
        <v/>
      </c>
      <c r="G102" s="3">
        <f>IF(OR($A102="",$D102=0),"",($C102-$D102)/ABS($D102))</f>
        <v/>
      </c>
      <c r="H102">
        <f>IF($G102="","",IF(ABS($G102)&gt;=$E$2,"À investiguer",""))</f>
        <v/>
      </c>
    </row>
    <row r="103">
      <c r="C103" s="5" t="n"/>
      <c r="D103" s="5" t="n"/>
      <c r="E103">
        <f>IF($A103="","",IF(LEFT($A103,2)="40","Achats/Fournisseurs",IF(LEFT($A103,2)="41","Ventes/Clients",IF(OR(LEFT($A103,2)="42",LEFT($A103,2)="43"),"Personnel",IF(LEFT($A103,2)="44","État/Fiscal",IF(LEFT($A103,1)="1","Capitaux",IF(LEFT($A103,1)="2","Immobilisations",IF(LEFT($A103,1)="3","Stocks",IF(LEFT($A103,1)="5","Trésorerie",IF(LEFT($A103,1)="6","Charges",IF(LEFT($A103,1)="7","Produits",IF(LEFT($A103,1)="8","HAO","Autres")))))))))))))</f>
        <v/>
      </c>
      <c r="F103" s="5">
        <f>IF($A103="","",$C103-$D103)</f>
        <v/>
      </c>
      <c r="G103" s="3">
        <f>IF(OR($A103="",$D103=0),"",($C103-$D103)/ABS($D103))</f>
        <v/>
      </c>
      <c r="H103">
        <f>IF($G103="","",IF(ABS($G103)&gt;=$E$2,"À investiguer",""))</f>
        <v/>
      </c>
    </row>
    <row r="104">
      <c r="C104" s="5" t="n"/>
      <c r="D104" s="5" t="n"/>
      <c r="E104">
        <f>IF($A104="","",IF(LEFT($A104,2)="40","Achats/Fournisseurs",IF(LEFT($A104,2)="41","Ventes/Clients",IF(OR(LEFT($A104,2)="42",LEFT($A104,2)="43"),"Personnel",IF(LEFT($A104,2)="44","État/Fiscal",IF(LEFT($A104,1)="1","Capitaux",IF(LEFT($A104,1)="2","Immobilisations",IF(LEFT($A104,1)="3","Stocks",IF(LEFT($A104,1)="5","Trésorerie",IF(LEFT($A104,1)="6","Charges",IF(LEFT($A104,1)="7","Produits",IF(LEFT($A104,1)="8","HAO","Autres")))))))))))))</f>
        <v/>
      </c>
      <c r="F104" s="5">
        <f>IF($A104="","",$C104-$D104)</f>
        <v/>
      </c>
      <c r="G104" s="3">
        <f>IF(OR($A104="",$D104=0),"",($C104-$D104)/ABS($D104))</f>
        <v/>
      </c>
      <c r="H104">
        <f>IF($G104="","",IF(ABS($G104)&gt;=$E$2,"À investiguer",""))</f>
        <v/>
      </c>
    </row>
    <row r="105">
      <c r="C105" s="5" t="n"/>
      <c r="D105" s="5" t="n"/>
      <c r="E105">
        <f>IF($A105="","",IF(LEFT($A105,2)="40","Achats/Fournisseurs",IF(LEFT($A105,2)="41","Ventes/Clients",IF(OR(LEFT($A105,2)="42",LEFT($A105,2)="43"),"Personnel",IF(LEFT($A105,2)="44","État/Fiscal",IF(LEFT($A105,1)="1","Capitaux",IF(LEFT($A105,1)="2","Immobilisations",IF(LEFT($A105,1)="3","Stocks",IF(LEFT($A105,1)="5","Trésorerie",IF(LEFT($A105,1)="6","Charges",IF(LEFT($A105,1)="7","Produits",IF(LEFT($A105,1)="8","HAO","Autres")))))))))))))</f>
        <v/>
      </c>
      <c r="F105" s="5">
        <f>IF($A105="","",$C105-$D105)</f>
        <v/>
      </c>
      <c r="G105" s="3">
        <f>IF(OR($A105="",$D105=0),"",($C105-$D105)/ABS($D105))</f>
        <v/>
      </c>
      <c r="H105">
        <f>IF($G105="","",IF(ABS($G105)&gt;=$E$2,"À investiguer",""))</f>
        <v/>
      </c>
    </row>
    <row r="106">
      <c r="C106" s="5" t="n"/>
      <c r="D106" s="5" t="n"/>
      <c r="E106">
        <f>IF($A106="","",IF(LEFT($A106,2)="40","Achats/Fournisseurs",IF(LEFT($A106,2)="41","Ventes/Clients",IF(OR(LEFT($A106,2)="42",LEFT($A106,2)="43"),"Personnel",IF(LEFT($A106,2)="44","État/Fiscal",IF(LEFT($A106,1)="1","Capitaux",IF(LEFT($A106,1)="2","Immobilisations",IF(LEFT($A106,1)="3","Stocks",IF(LEFT($A106,1)="5","Trésorerie",IF(LEFT($A106,1)="6","Charges",IF(LEFT($A106,1)="7","Produits",IF(LEFT($A106,1)="8","HAO","Autres")))))))))))))</f>
        <v/>
      </c>
      <c r="F106" s="5">
        <f>IF($A106="","",$C106-$D106)</f>
        <v/>
      </c>
      <c r="G106" s="3">
        <f>IF(OR($A106="",$D106=0),"",($C106-$D106)/ABS($D106))</f>
        <v/>
      </c>
      <c r="H106">
        <f>IF($G106="","",IF(ABS($G106)&gt;=$E$2,"À investiguer",""))</f>
        <v/>
      </c>
    </row>
    <row r="107">
      <c r="C107" s="5" t="n"/>
      <c r="D107" s="5" t="n"/>
      <c r="E107">
        <f>IF($A107="","",IF(LEFT($A107,2)="40","Achats/Fournisseurs",IF(LEFT($A107,2)="41","Ventes/Clients",IF(OR(LEFT($A107,2)="42",LEFT($A107,2)="43"),"Personnel",IF(LEFT($A107,2)="44","État/Fiscal",IF(LEFT($A107,1)="1","Capitaux",IF(LEFT($A107,1)="2","Immobilisations",IF(LEFT($A107,1)="3","Stocks",IF(LEFT($A107,1)="5","Trésorerie",IF(LEFT($A107,1)="6","Charges",IF(LEFT($A107,1)="7","Produits",IF(LEFT($A107,1)="8","HAO","Autres")))))))))))))</f>
        <v/>
      </c>
      <c r="F107" s="5">
        <f>IF($A107="","",$C107-$D107)</f>
        <v/>
      </c>
      <c r="G107" s="3">
        <f>IF(OR($A107="",$D107=0),"",($C107-$D107)/ABS($D107))</f>
        <v/>
      </c>
      <c r="H107">
        <f>IF($G107="","",IF(ABS($G107)&gt;=$E$2,"À investiguer",""))</f>
        <v/>
      </c>
    </row>
    <row r="108">
      <c r="C108" s="5" t="n"/>
      <c r="D108" s="5" t="n"/>
      <c r="E108">
        <f>IF($A108="","",IF(LEFT($A108,2)="40","Achats/Fournisseurs",IF(LEFT($A108,2)="41","Ventes/Clients",IF(OR(LEFT($A108,2)="42",LEFT($A108,2)="43"),"Personnel",IF(LEFT($A108,2)="44","État/Fiscal",IF(LEFT($A108,1)="1","Capitaux",IF(LEFT($A108,1)="2","Immobilisations",IF(LEFT($A108,1)="3","Stocks",IF(LEFT($A108,1)="5","Trésorerie",IF(LEFT($A108,1)="6","Charges",IF(LEFT($A108,1)="7","Produits",IF(LEFT($A108,1)="8","HAO","Autres")))))))))))))</f>
        <v/>
      </c>
      <c r="F108" s="5">
        <f>IF($A108="","",$C108-$D108)</f>
        <v/>
      </c>
      <c r="G108" s="3">
        <f>IF(OR($A108="",$D108=0),"",($C108-$D108)/ABS($D108))</f>
        <v/>
      </c>
      <c r="H108">
        <f>IF($G108="","",IF(ABS($G108)&gt;=$E$2,"À investiguer",""))</f>
        <v/>
      </c>
    </row>
    <row r="109">
      <c r="C109" s="5" t="n"/>
      <c r="D109" s="5" t="n"/>
      <c r="E109">
        <f>IF($A109="","",IF(LEFT($A109,2)="40","Achats/Fournisseurs",IF(LEFT($A109,2)="41","Ventes/Clients",IF(OR(LEFT($A109,2)="42",LEFT($A109,2)="43"),"Personnel",IF(LEFT($A109,2)="44","État/Fiscal",IF(LEFT($A109,1)="1","Capitaux",IF(LEFT($A109,1)="2","Immobilisations",IF(LEFT($A109,1)="3","Stocks",IF(LEFT($A109,1)="5","Trésorerie",IF(LEFT($A109,1)="6","Charges",IF(LEFT($A109,1)="7","Produits",IF(LEFT($A109,1)="8","HAO","Autres")))))))))))))</f>
        <v/>
      </c>
      <c r="F109" s="5">
        <f>IF($A109="","",$C109-$D109)</f>
        <v/>
      </c>
      <c r="G109" s="3">
        <f>IF(OR($A109="",$D109=0),"",($C109-$D109)/ABS($D109))</f>
        <v/>
      </c>
      <c r="H109">
        <f>IF($G109="","",IF(ABS($G109)&gt;=$E$2,"À investiguer",""))</f>
        <v/>
      </c>
    </row>
    <row r="110">
      <c r="C110" s="5" t="n"/>
      <c r="D110" s="5" t="n"/>
      <c r="E110">
        <f>IF($A110="","",IF(LEFT($A110,2)="40","Achats/Fournisseurs",IF(LEFT($A110,2)="41","Ventes/Clients",IF(OR(LEFT($A110,2)="42",LEFT($A110,2)="43"),"Personnel",IF(LEFT($A110,2)="44","État/Fiscal",IF(LEFT($A110,1)="1","Capitaux",IF(LEFT($A110,1)="2","Immobilisations",IF(LEFT($A110,1)="3","Stocks",IF(LEFT($A110,1)="5","Trésorerie",IF(LEFT($A110,1)="6","Charges",IF(LEFT($A110,1)="7","Produits",IF(LEFT($A110,1)="8","HAO","Autres")))))))))))))</f>
        <v/>
      </c>
      <c r="F110" s="5">
        <f>IF($A110="","",$C110-$D110)</f>
        <v/>
      </c>
      <c r="G110" s="3">
        <f>IF(OR($A110="",$D110=0),"",($C110-$D110)/ABS($D110))</f>
        <v/>
      </c>
      <c r="H110">
        <f>IF($G110="","",IF(ABS($G110)&gt;=$E$2,"À investiguer",""))</f>
        <v/>
      </c>
    </row>
    <row r="111">
      <c r="C111" s="5" t="n"/>
      <c r="D111" s="5" t="n"/>
      <c r="E111">
        <f>IF($A111="","",IF(LEFT($A111,2)="40","Achats/Fournisseurs",IF(LEFT($A111,2)="41","Ventes/Clients",IF(OR(LEFT($A111,2)="42",LEFT($A111,2)="43"),"Personnel",IF(LEFT($A111,2)="44","État/Fiscal",IF(LEFT($A111,1)="1","Capitaux",IF(LEFT($A111,1)="2","Immobilisations",IF(LEFT($A111,1)="3","Stocks",IF(LEFT($A111,1)="5","Trésorerie",IF(LEFT($A111,1)="6","Charges",IF(LEFT($A111,1)="7","Produits",IF(LEFT($A111,1)="8","HAO","Autres")))))))))))))</f>
        <v/>
      </c>
      <c r="F111" s="5">
        <f>IF($A111="","",$C111-$D111)</f>
        <v/>
      </c>
      <c r="G111" s="3">
        <f>IF(OR($A111="",$D111=0),"",($C111-$D111)/ABS($D111))</f>
        <v/>
      </c>
      <c r="H111">
        <f>IF($G111="","",IF(ABS($G111)&gt;=$E$2,"À investiguer",""))</f>
        <v/>
      </c>
    </row>
    <row r="112">
      <c r="C112" s="5" t="n"/>
      <c r="D112" s="5" t="n"/>
      <c r="E112">
        <f>IF($A112="","",IF(LEFT($A112,2)="40","Achats/Fournisseurs",IF(LEFT($A112,2)="41","Ventes/Clients",IF(OR(LEFT($A112,2)="42",LEFT($A112,2)="43"),"Personnel",IF(LEFT($A112,2)="44","État/Fiscal",IF(LEFT($A112,1)="1","Capitaux",IF(LEFT($A112,1)="2","Immobilisations",IF(LEFT($A112,1)="3","Stocks",IF(LEFT($A112,1)="5","Trésorerie",IF(LEFT($A112,1)="6","Charges",IF(LEFT($A112,1)="7","Produits",IF(LEFT($A112,1)="8","HAO","Autres")))))))))))))</f>
        <v/>
      </c>
      <c r="F112" s="5">
        <f>IF($A112="","",$C112-$D112)</f>
        <v/>
      </c>
      <c r="G112" s="3">
        <f>IF(OR($A112="",$D112=0),"",($C112-$D112)/ABS($D112))</f>
        <v/>
      </c>
      <c r="H112">
        <f>IF($G112="","",IF(ABS($G112)&gt;=$E$2,"À investiguer",""))</f>
        <v/>
      </c>
    </row>
    <row r="113">
      <c r="C113" s="5" t="n"/>
      <c r="D113" s="5" t="n"/>
      <c r="E113">
        <f>IF($A113="","",IF(LEFT($A113,2)="40","Achats/Fournisseurs",IF(LEFT($A113,2)="41","Ventes/Clients",IF(OR(LEFT($A113,2)="42",LEFT($A113,2)="43"),"Personnel",IF(LEFT($A113,2)="44","État/Fiscal",IF(LEFT($A113,1)="1","Capitaux",IF(LEFT($A113,1)="2","Immobilisations",IF(LEFT($A113,1)="3","Stocks",IF(LEFT($A113,1)="5","Trésorerie",IF(LEFT($A113,1)="6","Charges",IF(LEFT($A113,1)="7","Produits",IF(LEFT($A113,1)="8","HAO","Autres")))))))))))))</f>
        <v/>
      </c>
      <c r="F113" s="5">
        <f>IF($A113="","",$C113-$D113)</f>
        <v/>
      </c>
      <c r="G113" s="3">
        <f>IF(OR($A113="",$D113=0),"",($C113-$D113)/ABS($D113))</f>
        <v/>
      </c>
      <c r="H113">
        <f>IF($G113="","",IF(ABS($G113)&gt;=$E$2,"À investiguer",""))</f>
        <v/>
      </c>
    </row>
    <row r="114">
      <c r="C114" s="5" t="n"/>
      <c r="D114" s="5" t="n"/>
      <c r="E114">
        <f>IF($A114="","",IF(LEFT($A114,2)="40","Achats/Fournisseurs",IF(LEFT($A114,2)="41","Ventes/Clients",IF(OR(LEFT($A114,2)="42",LEFT($A114,2)="43"),"Personnel",IF(LEFT($A114,2)="44","État/Fiscal",IF(LEFT($A114,1)="1","Capitaux",IF(LEFT($A114,1)="2","Immobilisations",IF(LEFT($A114,1)="3","Stocks",IF(LEFT($A114,1)="5","Trésorerie",IF(LEFT($A114,1)="6","Charges",IF(LEFT($A114,1)="7","Produits",IF(LEFT($A114,1)="8","HAO","Autres")))))))))))))</f>
        <v/>
      </c>
      <c r="F114" s="5">
        <f>IF($A114="","",$C114-$D114)</f>
        <v/>
      </c>
      <c r="G114" s="3">
        <f>IF(OR($A114="",$D114=0),"",($C114-$D114)/ABS($D114))</f>
        <v/>
      </c>
      <c r="H114">
        <f>IF($G114="","",IF(ABS($G114)&gt;=$E$2,"À investiguer",""))</f>
        <v/>
      </c>
    </row>
    <row r="115">
      <c r="C115" s="5" t="n"/>
      <c r="D115" s="5" t="n"/>
      <c r="E115">
        <f>IF($A115="","",IF(LEFT($A115,2)="40","Achats/Fournisseurs",IF(LEFT($A115,2)="41","Ventes/Clients",IF(OR(LEFT($A115,2)="42",LEFT($A115,2)="43"),"Personnel",IF(LEFT($A115,2)="44","État/Fiscal",IF(LEFT($A115,1)="1","Capitaux",IF(LEFT($A115,1)="2","Immobilisations",IF(LEFT($A115,1)="3","Stocks",IF(LEFT($A115,1)="5","Trésorerie",IF(LEFT($A115,1)="6","Charges",IF(LEFT($A115,1)="7","Produits",IF(LEFT($A115,1)="8","HAO","Autres")))))))))))))</f>
        <v/>
      </c>
      <c r="F115" s="5">
        <f>IF($A115="","",$C115-$D115)</f>
        <v/>
      </c>
      <c r="G115" s="3">
        <f>IF(OR($A115="",$D115=0),"",($C115-$D115)/ABS($D115))</f>
        <v/>
      </c>
      <c r="H115">
        <f>IF($G115="","",IF(ABS($G115)&gt;=$E$2,"À investiguer",""))</f>
        <v/>
      </c>
    </row>
    <row r="116">
      <c r="C116" s="5" t="n"/>
      <c r="D116" s="5" t="n"/>
      <c r="E116">
        <f>IF($A116="","",IF(LEFT($A116,2)="40","Achats/Fournisseurs",IF(LEFT($A116,2)="41","Ventes/Clients",IF(OR(LEFT($A116,2)="42",LEFT($A116,2)="43"),"Personnel",IF(LEFT($A116,2)="44","État/Fiscal",IF(LEFT($A116,1)="1","Capitaux",IF(LEFT($A116,1)="2","Immobilisations",IF(LEFT($A116,1)="3","Stocks",IF(LEFT($A116,1)="5","Trésorerie",IF(LEFT($A116,1)="6","Charges",IF(LEFT($A116,1)="7","Produits",IF(LEFT($A116,1)="8","HAO","Autres")))))))))))))</f>
        <v/>
      </c>
      <c r="F116" s="5">
        <f>IF($A116="","",$C116-$D116)</f>
        <v/>
      </c>
      <c r="G116" s="3">
        <f>IF(OR($A116="",$D116=0),"",($C116-$D116)/ABS($D116))</f>
        <v/>
      </c>
      <c r="H116">
        <f>IF($G116="","",IF(ABS($G116)&gt;=$E$2,"À investiguer",""))</f>
        <v/>
      </c>
    </row>
    <row r="117">
      <c r="C117" s="5" t="n"/>
      <c r="D117" s="5" t="n"/>
      <c r="E117">
        <f>IF($A117="","",IF(LEFT($A117,2)="40","Achats/Fournisseurs",IF(LEFT($A117,2)="41","Ventes/Clients",IF(OR(LEFT($A117,2)="42",LEFT($A117,2)="43"),"Personnel",IF(LEFT($A117,2)="44","État/Fiscal",IF(LEFT($A117,1)="1","Capitaux",IF(LEFT($A117,1)="2","Immobilisations",IF(LEFT($A117,1)="3","Stocks",IF(LEFT($A117,1)="5","Trésorerie",IF(LEFT($A117,1)="6","Charges",IF(LEFT($A117,1)="7","Produits",IF(LEFT($A117,1)="8","HAO","Autres")))))))))))))</f>
        <v/>
      </c>
      <c r="F117" s="5">
        <f>IF($A117="","",$C117-$D117)</f>
        <v/>
      </c>
      <c r="G117" s="3">
        <f>IF(OR($A117="",$D117=0),"",($C117-$D117)/ABS($D117))</f>
        <v/>
      </c>
      <c r="H117">
        <f>IF($G117="","",IF(ABS($G117)&gt;=$E$2,"À investiguer",""))</f>
        <v/>
      </c>
    </row>
    <row r="118">
      <c r="C118" s="5" t="n"/>
      <c r="D118" s="5" t="n"/>
      <c r="E118">
        <f>IF($A118="","",IF(LEFT($A118,2)="40","Achats/Fournisseurs",IF(LEFT($A118,2)="41","Ventes/Clients",IF(OR(LEFT($A118,2)="42",LEFT($A118,2)="43"),"Personnel",IF(LEFT($A118,2)="44","État/Fiscal",IF(LEFT($A118,1)="1","Capitaux",IF(LEFT($A118,1)="2","Immobilisations",IF(LEFT($A118,1)="3","Stocks",IF(LEFT($A118,1)="5","Trésorerie",IF(LEFT($A118,1)="6","Charges",IF(LEFT($A118,1)="7","Produits",IF(LEFT($A118,1)="8","HAO","Autres")))))))))))))</f>
        <v/>
      </c>
      <c r="F118" s="5">
        <f>IF($A118="","",$C118-$D118)</f>
        <v/>
      </c>
      <c r="G118" s="3">
        <f>IF(OR($A118="",$D118=0),"",($C118-$D118)/ABS($D118))</f>
        <v/>
      </c>
      <c r="H118">
        <f>IF($G118="","",IF(ABS($G118)&gt;=$E$2,"À investiguer",""))</f>
        <v/>
      </c>
    </row>
    <row r="119">
      <c r="C119" s="5" t="n"/>
      <c r="D119" s="5" t="n"/>
      <c r="E119">
        <f>IF($A119="","",IF(LEFT($A119,2)="40","Achats/Fournisseurs",IF(LEFT($A119,2)="41","Ventes/Clients",IF(OR(LEFT($A119,2)="42",LEFT($A119,2)="43"),"Personnel",IF(LEFT($A119,2)="44","État/Fiscal",IF(LEFT($A119,1)="1","Capitaux",IF(LEFT($A119,1)="2","Immobilisations",IF(LEFT($A119,1)="3","Stocks",IF(LEFT($A119,1)="5","Trésorerie",IF(LEFT($A119,1)="6","Charges",IF(LEFT($A119,1)="7","Produits",IF(LEFT($A119,1)="8","HAO","Autres")))))))))))))</f>
        <v/>
      </c>
      <c r="F119" s="5">
        <f>IF($A119="","",$C119-$D119)</f>
        <v/>
      </c>
      <c r="G119" s="3">
        <f>IF(OR($A119="",$D119=0),"",($C119-$D119)/ABS($D119))</f>
        <v/>
      </c>
      <c r="H119">
        <f>IF($G119="","",IF(ABS($G119)&gt;=$E$2,"À investiguer",""))</f>
        <v/>
      </c>
    </row>
    <row r="120">
      <c r="C120" s="5" t="n"/>
      <c r="D120" s="5" t="n"/>
      <c r="E120">
        <f>IF($A120="","",IF(LEFT($A120,2)="40","Achats/Fournisseurs",IF(LEFT($A120,2)="41","Ventes/Clients",IF(OR(LEFT($A120,2)="42",LEFT($A120,2)="43"),"Personnel",IF(LEFT($A120,2)="44","État/Fiscal",IF(LEFT($A120,1)="1","Capitaux",IF(LEFT($A120,1)="2","Immobilisations",IF(LEFT($A120,1)="3","Stocks",IF(LEFT($A120,1)="5","Trésorerie",IF(LEFT($A120,1)="6","Charges",IF(LEFT($A120,1)="7","Produits",IF(LEFT($A120,1)="8","HAO","Autres")))))))))))))</f>
        <v/>
      </c>
      <c r="F120" s="5">
        <f>IF($A120="","",$C120-$D120)</f>
        <v/>
      </c>
      <c r="G120" s="3">
        <f>IF(OR($A120="",$D120=0),"",($C120-$D120)/ABS($D120))</f>
        <v/>
      </c>
      <c r="H120">
        <f>IF($G120="","",IF(ABS($G120)&gt;=$E$2,"À investiguer",""))</f>
        <v/>
      </c>
    </row>
    <row r="121">
      <c r="C121" s="5" t="n"/>
      <c r="D121" s="5" t="n"/>
      <c r="E121">
        <f>IF($A121="","",IF(LEFT($A121,2)="40","Achats/Fournisseurs",IF(LEFT($A121,2)="41","Ventes/Clients",IF(OR(LEFT($A121,2)="42",LEFT($A121,2)="43"),"Personnel",IF(LEFT($A121,2)="44","État/Fiscal",IF(LEFT($A121,1)="1","Capitaux",IF(LEFT($A121,1)="2","Immobilisations",IF(LEFT($A121,1)="3","Stocks",IF(LEFT($A121,1)="5","Trésorerie",IF(LEFT($A121,1)="6","Charges",IF(LEFT($A121,1)="7","Produits",IF(LEFT($A121,1)="8","HAO","Autres")))))))))))))</f>
        <v/>
      </c>
      <c r="F121" s="5">
        <f>IF($A121="","",$C121-$D121)</f>
        <v/>
      </c>
      <c r="G121" s="3">
        <f>IF(OR($A121="",$D121=0),"",($C121-$D121)/ABS($D121))</f>
        <v/>
      </c>
      <c r="H121">
        <f>IF($G121="","",IF(ABS($G121)&gt;=$E$2,"À investiguer",""))</f>
        <v/>
      </c>
    </row>
    <row r="122">
      <c r="C122" s="5" t="n"/>
      <c r="D122" s="5" t="n"/>
      <c r="E122">
        <f>IF($A122="","",IF(LEFT($A122,2)="40","Achats/Fournisseurs",IF(LEFT($A122,2)="41","Ventes/Clients",IF(OR(LEFT($A122,2)="42",LEFT($A122,2)="43"),"Personnel",IF(LEFT($A122,2)="44","État/Fiscal",IF(LEFT($A122,1)="1","Capitaux",IF(LEFT($A122,1)="2","Immobilisations",IF(LEFT($A122,1)="3","Stocks",IF(LEFT($A122,1)="5","Trésorerie",IF(LEFT($A122,1)="6","Charges",IF(LEFT($A122,1)="7","Produits",IF(LEFT($A122,1)="8","HAO","Autres")))))))))))))</f>
        <v/>
      </c>
      <c r="F122" s="5">
        <f>IF($A122="","",$C122-$D122)</f>
        <v/>
      </c>
      <c r="G122" s="3">
        <f>IF(OR($A122="",$D122=0),"",($C122-$D122)/ABS($D122))</f>
        <v/>
      </c>
      <c r="H122">
        <f>IF($G122="","",IF(ABS($G122)&gt;=$E$2,"À investiguer",""))</f>
        <v/>
      </c>
    </row>
    <row r="123">
      <c r="C123" s="5" t="n"/>
      <c r="D123" s="5" t="n"/>
      <c r="E123">
        <f>IF($A123="","",IF(LEFT($A123,2)="40","Achats/Fournisseurs",IF(LEFT($A123,2)="41","Ventes/Clients",IF(OR(LEFT($A123,2)="42",LEFT($A123,2)="43"),"Personnel",IF(LEFT($A123,2)="44","État/Fiscal",IF(LEFT($A123,1)="1","Capitaux",IF(LEFT($A123,1)="2","Immobilisations",IF(LEFT($A123,1)="3","Stocks",IF(LEFT($A123,1)="5","Trésorerie",IF(LEFT($A123,1)="6","Charges",IF(LEFT($A123,1)="7","Produits",IF(LEFT($A123,1)="8","HAO","Autres")))))))))))))</f>
        <v/>
      </c>
      <c r="F123" s="5">
        <f>IF($A123="","",$C123-$D123)</f>
        <v/>
      </c>
      <c r="G123" s="3">
        <f>IF(OR($A123="",$D123=0),"",($C123-$D123)/ABS($D123))</f>
        <v/>
      </c>
      <c r="H123">
        <f>IF($G123="","",IF(ABS($G123)&gt;=$E$2,"À investiguer",""))</f>
        <v/>
      </c>
    </row>
    <row r="124">
      <c r="C124" s="5" t="n"/>
      <c r="D124" s="5" t="n"/>
      <c r="E124">
        <f>IF($A124="","",IF(LEFT($A124,2)="40","Achats/Fournisseurs",IF(LEFT($A124,2)="41","Ventes/Clients",IF(OR(LEFT($A124,2)="42",LEFT($A124,2)="43"),"Personnel",IF(LEFT($A124,2)="44","État/Fiscal",IF(LEFT($A124,1)="1","Capitaux",IF(LEFT($A124,1)="2","Immobilisations",IF(LEFT($A124,1)="3","Stocks",IF(LEFT($A124,1)="5","Trésorerie",IF(LEFT($A124,1)="6","Charges",IF(LEFT($A124,1)="7","Produits",IF(LEFT($A124,1)="8","HAO","Autres")))))))))))))</f>
        <v/>
      </c>
      <c r="F124" s="5">
        <f>IF($A124="","",$C124-$D124)</f>
        <v/>
      </c>
      <c r="G124" s="3">
        <f>IF(OR($A124="",$D124=0),"",($C124-$D124)/ABS($D124))</f>
        <v/>
      </c>
      <c r="H124">
        <f>IF($G124="","",IF(ABS($G124)&gt;=$E$2,"À investiguer",""))</f>
        <v/>
      </c>
    </row>
    <row r="125">
      <c r="C125" s="5" t="n"/>
      <c r="D125" s="5" t="n"/>
      <c r="E125">
        <f>IF($A125="","",IF(LEFT($A125,2)="40","Achats/Fournisseurs",IF(LEFT($A125,2)="41","Ventes/Clients",IF(OR(LEFT($A125,2)="42",LEFT($A125,2)="43"),"Personnel",IF(LEFT($A125,2)="44","État/Fiscal",IF(LEFT($A125,1)="1","Capitaux",IF(LEFT($A125,1)="2","Immobilisations",IF(LEFT($A125,1)="3","Stocks",IF(LEFT($A125,1)="5","Trésorerie",IF(LEFT($A125,1)="6","Charges",IF(LEFT($A125,1)="7","Produits",IF(LEFT($A125,1)="8","HAO","Autres")))))))))))))</f>
        <v/>
      </c>
      <c r="F125" s="5">
        <f>IF($A125="","",$C125-$D125)</f>
        <v/>
      </c>
      <c r="G125" s="3">
        <f>IF(OR($A125="",$D125=0),"",($C125-$D125)/ABS($D125))</f>
        <v/>
      </c>
      <c r="H125">
        <f>IF($G125="","",IF(ABS($G125)&gt;=$E$2,"À investiguer",""))</f>
        <v/>
      </c>
    </row>
    <row r="126">
      <c r="C126" s="5" t="n"/>
      <c r="D126" s="5" t="n"/>
      <c r="E126">
        <f>IF($A126="","",IF(LEFT($A126,2)="40","Achats/Fournisseurs",IF(LEFT($A126,2)="41","Ventes/Clients",IF(OR(LEFT($A126,2)="42",LEFT($A126,2)="43"),"Personnel",IF(LEFT($A126,2)="44","État/Fiscal",IF(LEFT($A126,1)="1","Capitaux",IF(LEFT($A126,1)="2","Immobilisations",IF(LEFT($A126,1)="3","Stocks",IF(LEFT($A126,1)="5","Trésorerie",IF(LEFT($A126,1)="6","Charges",IF(LEFT($A126,1)="7","Produits",IF(LEFT($A126,1)="8","HAO","Autres")))))))))))))</f>
        <v/>
      </c>
      <c r="F126" s="5">
        <f>IF($A126="","",$C126-$D126)</f>
        <v/>
      </c>
      <c r="G126" s="3">
        <f>IF(OR($A126="",$D126=0),"",($C126-$D126)/ABS($D126))</f>
        <v/>
      </c>
      <c r="H126">
        <f>IF($G126="","",IF(ABS($G126)&gt;=$E$2,"À investiguer",""))</f>
        <v/>
      </c>
    </row>
    <row r="127">
      <c r="C127" s="5" t="n"/>
      <c r="D127" s="5" t="n"/>
      <c r="E127">
        <f>IF($A127="","",IF(LEFT($A127,2)="40","Achats/Fournisseurs",IF(LEFT($A127,2)="41","Ventes/Clients",IF(OR(LEFT($A127,2)="42",LEFT($A127,2)="43"),"Personnel",IF(LEFT($A127,2)="44","État/Fiscal",IF(LEFT($A127,1)="1","Capitaux",IF(LEFT($A127,1)="2","Immobilisations",IF(LEFT($A127,1)="3","Stocks",IF(LEFT($A127,1)="5","Trésorerie",IF(LEFT($A127,1)="6","Charges",IF(LEFT($A127,1)="7","Produits",IF(LEFT($A127,1)="8","HAO","Autres")))))))))))))</f>
        <v/>
      </c>
      <c r="F127" s="5">
        <f>IF($A127="","",$C127-$D127)</f>
        <v/>
      </c>
      <c r="G127" s="3">
        <f>IF(OR($A127="",$D127=0),"",($C127-$D127)/ABS($D127))</f>
        <v/>
      </c>
      <c r="H127">
        <f>IF($G127="","",IF(ABS($G127)&gt;=$E$2,"À investiguer",""))</f>
        <v/>
      </c>
    </row>
    <row r="128">
      <c r="C128" s="5" t="n"/>
      <c r="D128" s="5" t="n"/>
      <c r="E128">
        <f>IF($A128="","",IF(LEFT($A128,2)="40","Achats/Fournisseurs",IF(LEFT($A128,2)="41","Ventes/Clients",IF(OR(LEFT($A128,2)="42",LEFT($A128,2)="43"),"Personnel",IF(LEFT($A128,2)="44","État/Fiscal",IF(LEFT($A128,1)="1","Capitaux",IF(LEFT($A128,1)="2","Immobilisations",IF(LEFT($A128,1)="3","Stocks",IF(LEFT($A128,1)="5","Trésorerie",IF(LEFT($A128,1)="6","Charges",IF(LEFT($A128,1)="7","Produits",IF(LEFT($A128,1)="8","HAO","Autres")))))))))))))</f>
        <v/>
      </c>
      <c r="F128" s="5">
        <f>IF($A128="","",$C128-$D128)</f>
        <v/>
      </c>
      <c r="G128" s="3">
        <f>IF(OR($A128="",$D128=0),"",($C128-$D128)/ABS($D128))</f>
        <v/>
      </c>
      <c r="H128">
        <f>IF($G128="","",IF(ABS($G128)&gt;=$E$2,"À investiguer",""))</f>
        <v/>
      </c>
    </row>
    <row r="129">
      <c r="C129" s="5" t="n"/>
      <c r="D129" s="5" t="n"/>
      <c r="E129">
        <f>IF($A129="","",IF(LEFT($A129,2)="40","Achats/Fournisseurs",IF(LEFT($A129,2)="41","Ventes/Clients",IF(OR(LEFT($A129,2)="42",LEFT($A129,2)="43"),"Personnel",IF(LEFT($A129,2)="44","État/Fiscal",IF(LEFT($A129,1)="1","Capitaux",IF(LEFT($A129,1)="2","Immobilisations",IF(LEFT($A129,1)="3","Stocks",IF(LEFT($A129,1)="5","Trésorerie",IF(LEFT($A129,1)="6","Charges",IF(LEFT($A129,1)="7","Produits",IF(LEFT($A129,1)="8","HAO","Autres")))))))))))))</f>
        <v/>
      </c>
      <c r="F129" s="5">
        <f>IF($A129="","",$C129-$D129)</f>
        <v/>
      </c>
      <c r="G129" s="3">
        <f>IF(OR($A129="",$D129=0),"",($C129-$D129)/ABS($D129))</f>
        <v/>
      </c>
      <c r="H129">
        <f>IF($G129="","",IF(ABS($G129)&gt;=$E$2,"À investiguer",""))</f>
        <v/>
      </c>
    </row>
    <row r="130">
      <c r="C130" s="5" t="n"/>
      <c r="D130" s="5" t="n"/>
      <c r="E130">
        <f>IF($A130="","",IF(LEFT($A130,2)="40","Achats/Fournisseurs",IF(LEFT($A130,2)="41","Ventes/Clients",IF(OR(LEFT($A130,2)="42",LEFT($A130,2)="43"),"Personnel",IF(LEFT($A130,2)="44","État/Fiscal",IF(LEFT($A130,1)="1","Capitaux",IF(LEFT($A130,1)="2","Immobilisations",IF(LEFT($A130,1)="3","Stocks",IF(LEFT($A130,1)="5","Trésorerie",IF(LEFT($A130,1)="6","Charges",IF(LEFT($A130,1)="7","Produits",IF(LEFT($A130,1)="8","HAO","Autres")))))))))))))</f>
        <v/>
      </c>
      <c r="F130" s="5">
        <f>IF($A130="","",$C130-$D130)</f>
        <v/>
      </c>
      <c r="G130" s="3">
        <f>IF(OR($A130="",$D130=0),"",($C130-$D130)/ABS($D130))</f>
        <v/>
      </c>
      <c r="H130">
        <f>IF($G130="","",IF(ABS($G130)&gt;=$E$2,"À investiguer",""))</f>
        <v/>
      </c>
    </row>
    <row r="131">
      <c r="C131" s="5" t="n"/>
      <c r="D131" s="5" t="n"/>
      <c r="E131">
        <f>IF($A131="","",IF(LEFT($A131,2)="40","Achats/Fournisseurs",IF(LEFT($A131,2)="41","Ventes/Clients",IF(OR(LEFT($A131,2)="42",LEFT($A131,2)="43"),"Personnel",IF(LEFT($A131,2)="44","État/Fiscal",IF(LEFT($A131,1)="1","Capitaux",IF(LEFT($A131,1)="2","Immobilisations",IF(LEFT($A131,1)="3","Stocks",IF(LEFT($A131,1)="5","Trésorerie",IF(LEFT($A131,1)="6","Charges",IF(LEFT($A131,1)="7","Produits",IF(LEFT($A131,1)="8","HAO","Autres")))))))))))))</f>
        <v/>
      </c>
      <c r="F131" s="5">
        <f>IF($A131="","",$C131-$D131)</f>
        <v/>
      </c>
      <c r="G131" s="3">
        <f>IF(OR($A131="",$D131=0),"",($C131-$D131)/ABS($D131))</f>
        <v/>
      </c>
      <c r="H131">
        <f>IF($G131="","",IF(ABS($G131)&gt;=$E$2,"À investiguer",""))</f>
        <v/>
      </c>
    </row>
    <row r="132">
      <c r="C132" s="5" t="n"/>
      <c r="D132" s="5" t="n"/>
      <c r="E132">
        <f>IF($A132="","",IF(LEFT($A132,2)="40","Achats/Fournisseurs",IF(LEFT($A132,2)="41","Ventes/Clients",IF(OR(LEFT($A132,2)="42",LEFT($A132,2)="43"),"Personnel",IF(LEFT($A132,2)="44","État/Fiscal",IF(LEFT($A132,1)="1","Capitaux",IF(LEFT($A132,1)="2","Immobilisations",IF(LEFT($A132,1)="3","Stocks",IF(LEFT($A132,1)="5","Trésorerie",IF(LEFT($A132,1)="6","Charges",IF(LEFT($A132,1)="7","Produits",IF(LEFT($A132,1)="8","HAO","Autres")))))))))))))</f>
        <v/>
      </c>
      <c r="F132" s="5">
        <f>IF($A132="","",$C132-$D132)</f>
        <v/>
      </c>
      <c r="G132" s="3">
        <f>IF(OR($A132="",$D132=0),"",($C132-$D132)/ABS($D132))</f>
        <v/>
      </c>
      <c r="H132">
        <f>IF($G132="","",IF(ABS($G132)&gt;=$E$2,"À investiguer",""))</f>
        <v/>
      </c>
    </row>
    <row r="133">
      <c r="C133" s="5" t="n"/>
      <c r="D133" s="5" t="n"/>
      <c r="E133">
        <f>IF($A133="","",IF(LEFT($A133,2)="40","Achats/Fournisseurs",IF(LEFT($A133,2)="41","Ventes/Clients",IF(OR(LEFT($A133,2)="42",LEFT($A133,2)="43"),"Personnel",IF(LEFT($A133,2)="44","État/Fiscal",IF(LEFT($A133,1)="1","Capitaux",IF(LEFT($A133,1)="2","Immobilisations",IF(LEFT($A133,1)="3","Stocks",IF(LEFT($A133,1)="5","Trésorerie",IF(LEFT($A133,1)="6","Charges",IF(LEFT($A133,1)="7","Produits",IF(LEFT($A133,1)="8","HAO","Autres")))))))))))))</f>
        <v/>
      </c>
      <c r="F133" s="5">
        <f>IF($A133="","",$C133-$D133)</f>
        <v/>
      </c>
      <c r="G133" s="3">
        <f>IF(OR($A133="",$D133=0),"",($C133-$D133)/ABS($D133))</f>
        <v/>
      </c>
      <c r="H133">
        <f>IF($G133="","",IF(ABS($G133)&gt;=$E$2,"À investiguer",""))</f>
        <v/>
      </c>
    </row>
    <row r="134">
      <c r="C134" s="5" t="n"/>
      <c r="D134" s="5" t="n"/>
      <c r="E134">
        <f>IF($A134="","",IF(LEFT($A134,2)="40","Achats/Fournisseurs",IF(LEFT($A134,2)="41","Ventes/Clients",IF(OR(LEFT($A134,2)="42",LEFT($A134,2)="43"),"Personnel",IF(LEFT($A134,2)="44","État/Fiscal",IF(LEFT($A134,1)="1","Capitaux",IF(LEFT($A134,1)="2","Immobilisations",IF(LEFT($A134,1)="3","Stocks",IF(LEFT($A134,1)="5","Trésorerie",IF(LEFT($A134,1)="6","Charges",IF(LEFT($A134,1)="7","Produits",IF(LEFT($A134,1)="8","HAO","Autres")))))))))))))</f>
        <v/>
      </c>
      <c r="F134" s="5">
        <f>IF($A134="","",$C134-$D134)</f>
        <v/>
      </c>
      <c r="G134" s="3">
        <f>IF(OR($A134="",$D134=0),"",($C134-$D134)/ABS($D134))</f>
        <v/>
      </c>
      <c r="H134">
        <f>IF($G134="","",IF(ABS($G134)&gt;=$E$2,"À investiguer",""))</f>
        <v/>
      </c>
    </row>
    <row r="135">
      <c r="C135" s="5" t="n"/>
      <c r="D135" s="5" t="n"/>
      <c r="E135">
        <f>IF($A135="","",IF(LEFT($A135,2)="40","Achats/Fournisseurs",IF(LEFT($A135,2)="41","Ventes/Clients",IF(OR(LEFT($A135,2)="42",LEFT($A135,2)="43"),"Personnel",IF(LEFT($A135,2)="44","État/Fiscal",IF(LEFT($A135,1)="1","Capitaux",IF(LEFT($A135,1)="2","Immobilisations",IF(LEFT($A135,1)="3","Stocks",IF(LEFT($A135,1)="5","Trésorerie",IF(LEFT($A135,1)="6","Charges",IF(LEFT($A135,1)="7","Produits",IF(LEFT($A135,1)="8","HAO","Autres")))))))))))))</f>
        <v/>
      </c>
      <c r="F135" s="5">
        <f>IF($A135="","",$C135-$D135)</f>
        <v/>
      </c>
      <c r="G135" s="3">
        <f>IF(OR($A135="",$D135=0),"",($C135-$D135)/ABS($D135))</f>
        <v/>
      </c>
      <c r="H135">
        <f>IF($G135="","",IF(ABS($G135)&gt;=$E$2,"À investiguer",""))</f>
        <v/>
      </c>
    </row>
    <row r="136">
      <c r="C136" s="5" t="n"/>
      <c r="D136" s="5" t="n"/>
      <c r="E136">
        <f>IF($A136="","",IF(LEFT($A136,2)="40","Achats/Fournisseurs",IF(LEFT($A136,2)="41","Ventes/Clients",IF(OR(LEFT($A136,2)="42",LEFT($A136,2)="43"),"Personnel",IF(LEFT($A136,2)="44","État/Fiscal",IF(LEFT($A136,1)="1","Capitaux",IF(LEFT($A136,1)="2","Immobilisations",IF(LEFT($A136,1)="3","Stocks",IF(LEFT($A136,1)="5","Trésorerie",IF(LEFT($A136,1)="6","Charges",IF(LEFT($A136,1)="7","Produits",IF(LEFT($A136,1)="8","HAO","Autres")))))))))))))</f>
        <v/>
      </c>
      <c r="F136" s="5">
        <f>IF($A136="","",$C136-$D136)</f>
        <v/>
      </c>
      <c r="G136" s="3">
        <f>IF(OR($A136="",$D136=0),"",($C136-$D136)/ABS($D136))</f>
        <v/>
      </c>
      <c r="H136">
        <f>IF($G136="","",IF(ABS($G136)&gt;=$E$2,"À investiguer",""))</f>
        <v/>
      </c>
    </row>
    <row r="137">
      <c r="C137" s="5" t="n"/>
      <c r="D137" s="5" t="n"/>
      <c r="E137">
        <f>IF($A137="","",IF(LEFT($A137,2)="40","Achats/Fournisseurs",IF(LEFT($A137,2)="41","Ventes/Clients",IF(OR(LEFT($A137,2)="42",LEFT($A137,2)="43"),"Personnel",IF(LEFT($A137,2)="44","État/Fiscal",IF(LEFT($A137,1)="1","Capitaux",IF(LEFT($A137,1)="2","Immobilisations",IF(LEFT($A137,1)="3","Stocks",IF(LEFT($A137,1)="5","Trésorerie",IF(LEFT($A137,1)="6","Charges",IF(LEFT($A137,1)="7","Produits",IF(LEFT($A137,1)="8","HAO","Autres")))))))))))))</f>
        <v/>
      </c>
      <c r="F137" s="5">
        <f>IF($A137="","",$C137-$D137)</f>
        <v/>
      </c>
      <c r="G137" s="3">
        <f>IF(OR($A137="",$D137=0),"",($C137-$D137)/ABS($D137))</f>
        <v/>
      </c>
      <c r="H137">
        <f>IF($G137="","",IF(ABS($G137)&gt;=$E$2,"À investiguer",""))</f>
        <v/>
      </c>
    </row>
    <row r="138">
      <c r="C138" s="5" t="n"/>
      <c r="D138" s="5" t="n"/>
      <c r="E138">
        <f>IF($A138="","",IF(LEFT($A138,2)="40","Achats/Fournisseurs",IF(LEFT($A138,2)="41","Ventes/Clients",IF(OR(LEFT($A138,2)="42",LEFT($A138,2)="43"),"Personnel",IF(LEFT($A138,2)="44","État/Fiscal",IF(LEFT($A138,1)="1","Capitaux",IF(LEFT($A138,1)="2","Immobilisations",IF(LEFT($A138,1)="3","Stocks",IF(LEFT($A138,1)="5","Trésorerie",IF(LEFT($A138,1)="6","Charges",IF(LEFT($A138,1)="7","Produits",IF(LEFT($A138,1)="8","HAO","Autres")))))))))))))</f>
        <v/>
      </c>
      <c r="F138" s="5">
        <f>IF($A138="","",$C138-$D138)</f>
        <v/>
      </c>
      <c r="G138" s="3">
        <f>IF(OR($A138="",$D138=0),"",($C138-$D138)/ABS($D138))</f>
        <v/>
      </c>
      <c r="H138">
        <f>IF($G138="","",IF(ABS($G138)&gt;=$E$2,"À investiguer",""))</f>
        <v/>
      </c>
    </row>
    <row r="139">
      <c r="C139" s="5" t="n"/>
      <c r="D139" s="5" t="n"/>
      <c r="E139">
        <f>IF($A139="","",IF(LEFT($A139,2)="40","Achats/Fournisseurs",IF(LEFT($A139,2)="41","Ventes/Clients",IF(OR(LEFT($A139,2)="42",LEFT($A139,2)="43"),"Personnel",IF(LEFT($A139,2)="44","État/Fiscal",IF(LEFT($A139,1)="1","Capitaux",IF(LEFT($A139,1)="2","Immobilisations",IF(LEFT($A139,1)="3","Stocks",IF(LEFT($A139,1)="5","Trésorerie",IF(LEFT($A139,1)="6","Charges",IF(LEFT($A139,1)="7","Produits",IF(LEFT($A139,1)="8","HAO","Autres")))))))))))))</f>
        <v/>
      </c>
      <c r="F139" s="5">
        <f>IF($A139="","",$C139-$D139)</f>
        <v/>
      </c>
      <c r="G139" s="3">
        <f>IF(OR($A139="",$D139=0),"",($C139-$D139)/ABS($D139))</f>
        <v/>
      </c>
      <c r="H139">
        <f>IF($G139="","",IF(ABS($G139)&gt;=$E$2,"À investiguer",""))</f>
        <v/>
      </c>
    </row>
    <row r="140">
      <c r="C140" s="5" t="n"/>
      <c r="D140" s="5" t="n"/>
      <c r="E140">
        <f>IF($A140="","",IF(LEFT($A140,2)="40","Achats/Fournisseurs",IF(LEFT($A140,2)="41","Ventes/Clients",IF(OR(LEFT($A140,2)="42",LEFT($A140,2)="43"),"Personnel",IF(LEFT($A140,2)="44","État/Fiscal",IF(LEFT($A140,1)="1","Capitaux",IF(LEFT($A140,1)="2","Immobilisations",IF(LEFT($A140,1)="3","Stocks",IF(LEFT($A140,1)="5","Trésorerie",IF(LEFT($A140,1)="6","Charges",IF(LEFT($A140,1)="7","Produits",IF(LEFT($A140,1)="8","HAO","Autres")))))))))))))</f>
        <v/>
      </c>
      <c r="F140" s="5">
        <f>IF($A140="","",$C140-$D140)</f>
        <v/>
      </c>
      <c r="G140" s="3">
        <f>IF(OR($A140="",$D140=0),"",($C140-$D140)/ABS($D140))</f>
        <v/>
      </c>
      <c r="H140">
        <f>IF($G140="","",IF(ABS($G140)&gt;=$E$2,"À investiguer",""))</f>
        <v/>
      </c>
    </row>
    <row r="141">
      <c r="C141" s="5" t="n"/>
      <c r="D141" s="5" t="n"/>
      <c r="E141">
        <f>IF($A141="","",IF(LEFT($A141,2)="40","Achats/Fournisseurs",IF(LEFT($A141,2)="41","Ventes/Clients",IF(OR(LEFT($A141,2)="42",LEFT($A141,2)="43"),"Personnel",IF(LEFT($A141,2)="44","État/Fiscal",IF(LEFT($A141,1)="1","Capitaux",IF(LEFT($A141,1)="2","Immobilisations",IF(LEFT($A141,1)="3","Stocks",IF(LEFT($A141,1)="5","Trésorerie",IF(LEFT($A141,1)="6","Charges",IF(LEFT($A141,1)="7","Produits",IF(LEFT($A141,1)="8","HAO","Autres")))))))))))))</f>
        <v/>
      </c>
      <c r="F141" s="5">
        <f>IF($A141="","",$C141-$D141)</f>
        <v/>
      </c>
      <c r="G141" s="3">
        <f>IF(OR($A141="",$D141=0),"",($C141-$D141)/ABS($D141))</f>
        <v/>
      </c>
      <c r="H141">
        <f>IF($G141="","",IF(ABS($G141)&gt;=$E$2,"À investiguer",""))</f>
        <v/>
      </c>
    </row>
    <row r="142">
      <c r="C142" s="5" t="n"/>
      <c r="D142" s="5" t="n"/>
      <c r="E142">
        <f>IF($A142="","",IF(LEFT($A142,2)="40","Achats/Fournisseurs",IF(LEFT($A142,2)="41","Ventes/Clients",IF(OR(LEFT($A142,2)="42",LEFT($A142,2)="43"),"Personnel",IF(LEFT($A142,2)="44","État/Fiscal",IF(LEFT($A142,1)="1","Capitaux",IF(LEFT($A142,1)="2","Immobilisations",IF(LEFT($A142,1)="3","Stocks",IF(LEFT($A142,1)="5","Trésorerie",IF(LEFT($A142,1)="6","Charges",IF(LEFT($A142,1)="7","Produits",IF(LEFT($A142,1)="8","HAO","Autres")))))))))))))</f>
        <v/>
      </c>
      <c r="F142" s="5">
        <f>IF($A142="","",$C142-$D142)</f>
        <v/>
      </c>
      <c r="G142" s="3">
        <f>IF(OR($A142="",$D142=0),"",($C142-$D142)/ABS($D142))</f>
        <v/>
      </c>
      <c r="H142">
        <f>IF($G142="","",IF(ABS($G142)&gt;=$E$2,"À investiguer",""))</f>
        <v/>
      </c>
    </row>
    <row r="143">
      <c r="C143" s="5" t="n"/>
      <c r="D143" s="5" t="n"/>
      <c r="E143">
        <f>IF($A143="","",IF(LEFT($A143,2)="40","Achats/Fournisseurs",IF(LEFT($A143,2)="41","Ventes/Clients",IF(OR(LEFT($A143,2)="42",LEFT($A143,2)="43"),"Personnel",IF(LEFT($A143,2)="44","État/Fiscal",IF(LEFT($A143,1)="1","Capitaux",IF(LEFT($A143,1)="2","Immobilisations",IF(LEFT($A143,1)="3","Stocks",IF(LEFT($A143,1)="5","Trésorerie",IF(LEFT($A143,1)="6","Charges",IF(LEFT($A143,1)="7","Produits",IF(LEFT($A143,1)="8","HAO","Autres")))))))))))))</f>
        <v/>
      </c>
      <c r="F143" s="5">
        <f>IF($A143="","",$C143-$D143)</f>
        <v/>
      </c>
      <c r="G143" s="3">
        <f>IF(OR($A143="",$D143=0),"",($C143-$D143)/ABS($D143))</f>
        <v/>
      </c>
      <c r="H143">
        <f>IF($G143="","",IF(ABS($G143)&gt;=$E$2,"À investiguer",""))</f>
        <v/>
      </c>
    </row>
    <row r="144">
      <c r="C144" s="5" t="n"/>
      <c r="D144" s="5" t="n"/>
      <c r="E144">
        <f>IF($A144="","",IF(LEFT($A144,2)="40","Achats/Fournisseurs",IF(LEFT($A144,2)="41","Ventes/Clients",IF(OR(LEFT($A144,2)="42",LEFT($A144,2)="43"),"Personnel",IF(LEFT($A144,2)="44","État/Fiscal",IF(LEFT($A144,1)="1","Capitaux",IF(LEFT($A144,1)="2","Immobilisations",IF(LEFT($A144,1)="3","Stocks",IF(LEFT($A144,1)="5","Trésorerie",IF(LEFT($A144,1)="6","Charges",IF(LEFT($A144,1)="7","Produits",IF(LEFT($A144,1)="8","HAO","Autres")))))))))))))</f>
        <v/>
      </c>
      <c r="F144" s="5">
        <f>IF($A144="","",$C144-$D144)</f>
        <v/>
      </c>
      <c r="G144" s="3">
        <f>IF(OR($A144="",$D144=0),"",($C144-$D144)/ABS($D144))</f>
        <v/>
      </c>
      <c r="H144">
        <f>IF($G144="","",IF(ABS($G144)&gt;=$E$2,"À investiguer",""))</f>
        <v/>
      </c>
    </row>
    <row r="145">
      <c r="C145" s="5" t="n"/>
      <c r="D145" s="5" t="n"/>
      <c r="E145">
        <f>IF($A145="","",IF(LEFT($A145,2)="40","Achats/Fournisseurs",IF(LEFT($A145,2)="41","Ventes/Clients",IF(OR(LEFT($A145,2)="42",LEFT($A145,2)="43"),"Personnel",IF(LEFT($A145,2)="44","État/Fiscal",IF(LEFT($A145,1)="1","Capitaux",IF(LEFT($A145,1)="2","Immobilisations",IF(LEFT($A145,1)="3","Stocks",IF(LEFT($A145,1)="5","Trésorerie",IF(LEFT($A145,1)="6","Charges",IF(LEFT($A145,1)="7","Produits",IF(LEFT($A145,1)="8","HAO","Autres")))))))))))))</f>
        <v/>
      </c>
      <c r="F145" s="5">
        <f>IF($A145="","",$C145-$D145)</f>
        <v/>
      </c>
      <c r="G145" s="3">
        <f>IF(OR($A145="",$D145=0),"",($C145-$D145)/ABS($D145))</f>
        <v/>
      </c>
      <c r="H145">
        <f>IF($G145="","",IF(ABS($G145)&gt;=$E$2,"À investiguer",""))</f>
        <v/>
      </c>
    </row>
    <row r="146">
      <c r="C146" s="5" t="n"/>
      <c r="D146" s="5" t="n"/>
      <c r="E146">
        <f>IF($A146="","",IF(LEFT($A146,2)="40","Achats/Fournisseurs",IF(LEFT($A146,2)="41","Ventes/Clients",IF(OR(LEFT($A146,2)="42",LEFT($A146,2)="43"),"Personnel",IF(LEFT($A146,2)="44","État/Fiscal",IF(LEFT($A146,1)="1","Capitaux",IF(LEFT($A146,1)="2","Immobilisations",IF(LEFT($A146,1)="3","Stocks",IF(LEFT($A146,1)="5","Trésorerie",IF(LEFT($A146,1)="6","Charges",IF(LEFT($A146,1)="7","Produits",IF(LEFT($A146,1)="8","HAO","Autres")))))))))))))</f>
        <v/>
      </c>
      <c r="F146" s="5">
        <f>IF($A146="","",$C146-$D146)</f>
        <v/>
      </c>
      <c r="G146" s="3">
        <f>IF(OR($A146="",$D146=0),"",($C146-$D146)/ABS($D146))</f>
        <v/>
      </c>
      <c r="H146">
        <f>IF($G146="","",IF(ABS($G146)&gt;=$E$2,"À investiguer",""))</f>
        <v/>
      </c>
    </row>
    <row r="147">
      <c r="C147" s="5" t="n"/>
      <c r="D147" s="5" t="n"/>
      <c r="E147">
        <f>IF($A147="","",IF(LEFT($A147,2)="40","Achats/Fournisseurs",IF(LEFT($A147,2)="41","Ventes/Clients",IF(OR(LEFT($A147,2)="42",LEFT($A147,2)="43"),"Personnel",IF(LEFT($A147,2)="44","État/Fiscal",IF(LEFT($A147,1)="1","Capitaux",IF(LEFT($A147,1)="2","Immobilisations",IF(LEFT($A147,1)="3","Stocks",IF(LEFT($A147,1)="5","Trésorerie",IF(LEFT($A147,1)="6","Charges",IF(LEFT($A147,1)="7","Produits",IF(LEFT($A147,1)="8","HAO","Autres")))))))))))))</f>
        <v/>
      </c>
      <c r="F147" s="5">
        <f>IF($A147="","",$C147-$D147)</f>
        <v/>
      </c>
      <c r="G147" s="3">
        <f>IF(OR($A147="",$D147=0),"",($C147-$D147)/ABS($D147))</f>
        <v/>
      </c>
      <c r="H147">
        <f>IF($G147="","",IF(ABS($G147)&gt;=$E$2,"À investiguer",""))</f>
        <v/>
      </c>
    </row>
    <row r="148">
      <c r="C148" s="5" t="n"/>
      <c r="D148" s="5" t="n"/>
      <c r="E148">
        <f>IF($A148="","",IF(LEFT($A148,2)="40","Achats/Fournisseurs",IF(LEFT($A148,2)="41","Ventes/Clients",IF(OR(LEFT($A148,2)="42",LEFT($A148,2)="43"),"Personnel",IF(LEFT($A148,2)="44","État/Fiscal",IF(LEFT($A148,1)="1","Capitaux",IF(LEFT($A148,1)="2","Immobilisations",IF(LEFT($A148,1)="3","Stocks",IF(LEFT($A148,1)="5","Trésorerie",IF(LEFT($A148,1)="6","Charges",IF(LEFT($A148,1)="7","Produits",IF(LEFT($A148,1)="8","HAO","Autres")))))))))))))</f>
        <v/>
      </c>
      <c r="F148" s="5">
        <f>IF($A148="","",$C148-$D148)</f>
        <v/>
      </c>
      <c r="G148" s="3">
        <f>IF(OR($A148="",$D148=0),"",($C148-$D148)/ABS($D148))</f>
        <v/>
      </c>
      <c r="H148">
        <f>IF($G148="","",IF(ABS($G148)&gt;=$E$2,"À investiguer",""))</f>
        <v/>
      </c>
    </row>
    <row r="149">
      <c r="C149" s="5" t="n"/>
      <c r="D149" s="5" t="n"/>
      <c r="E149">
        <f>IF($A149="","",IF(LEFT($A149,2)="40","Achats/Fournisseurs",IF(LEFT($A149,2)="41","Ventes/Clients",IF(OR(LEFT($A149,2)="42",LEFT($A149,2)="43"),"Personnel",IF(LEFT($A149,2)="44","État/Fiscal",IF(LEFT($A149,1)="1","Capitaux",IF(LEFT($A149,1)="2","Immobilisations",IF(LEFT($A149,1)="3","Stocks",IF(LEFT($A149,1)="5","Trésorerie",IF(LEFT($A149,1)="6","Charges",IF(LEFT($A149,1)="7","Produits",IF(LEFT($A149,1)="8","HAO","Autres")))))))))))))</f>
        <v/>
      </c>
      <c r="F149" s="5">
        <f>IF($A149="","",$C149-$D149)</f>
        <v/>
      </c>
      <c r="G149" s="3">
        <f>IF(OR($A149="",$D149=0),"",($C149-$D149)/ABS($D149))</f>
        <v/>
      </c>
      <c r="H149">
        <f>IF($G149="","",IF(ABS($G149)&gt;=$E$2,"À investiguer",""))</f>
        <v/>
      </c>
    </row>
    <row r="150">
      <c r="C150" s="5" t="n"/>
      <c r="D150" s="5" t="n"/>
      <c r="E150">
        <f>IF($A150="","",IF(LEFT($A150,2)="40","Achats/Fournisseurs",IF(LEFT($A150,2)="41","Ventes/Clients",IF(OR(LEFT($A150,2)="42",LEFT($A150,2)="43"),"Personnel",IF(LEFT($A150,2)="44","État/Fiscal",IF(LEFT($A150,1)="1","Capitaux",IF(LEFT($A150,1)="2","Immobilisations",IF(LEFT($A150,1)="3","Stocks",IF(LEFT($A150,1)="5","Trésorerie",IF(LEFT($A150,1)="6","Charges",IF(LEFT($A150,1)="7","Produits",IF(LEFT($A150,1)="8","HAO","Autres")))))))))))))</f>
        <v/>
      </c>
      <c r="F150" s="5">
        <f>IF($A150="","",$C150-$D150)</f>
        <v/>
      </c>
      <c r="G150" s="3">
        <f>IF(OR($A150="",$D150=0),"",($C150-$D150)/ABS($D150))</f>
        <v/>
      </c>
      <c r="H150">
        <f>IF($G150="","",IF(ABS($G150)&gt;=$E$2,"À investiguer",""))</f>
        <v/>
      </c>
    </row>
    <row r="151">
      <c r="C151" s="5" t="n"/>
      <c r="D151" s="5" t="n"/>
      <c r="E151">
        <f>IF($A151="","",IF(LEFT($A151,2)="40","Achats/Fournisseurs",IF(LEFT($A151,2)="41","Ventes/Clients",IF(OR(LEFT($A151,2)="42",LEFT($A151,2)="43"),"Personnel",IF(LEFT($A151,2)="44","État/Fiscal",IF(LEFT($A151,1)="1","Capitaux",IF(LEFT($A151,1)="2","Immobilisations",IF(LEFT($A151,1)="3","Stocks",IF(LEFT($A151,1)="5","Trésorerie",IF(LEFT($A151,1)="6","Charges",IF(LEFT($A151,1)="7","Produits",IF(LEFT($A151,1)="8","HAO","Autres")))))))))))))</f>
        <v/>
      </c>
      <c r="F151" s="5">
        <f>IF($A151="","",$C151-$D151)</f>
        <v/>
      </c>
      <c r="G151" s="3">
        <f>IF(OR($A151="",$D151=0),"",($C151-$D151)/ABS($D151))</f>
        <v/>
      </c>
      <c r="H151">
        <f>IF($G151="","",IF(ABS($G151)&gt;=$E$2,"À investiguer",""))</f>
        <v/>
      </c>
    </row>
    <row r="152">
      <c r="C152" s="5" t="n"/>
      <c r="D152" s="5" t="n"/>
      <c r="E152">
        <f>IF($A152="","",IF(LEFT($A152,2)="40","Achats/Fournisseurs",IF(LEFT($A152,2)="41","Ventes/Clients",IF(OR(LEFT($A152,2)="42",LEFT($A152,2)="43"),"Personnel",IF(LEFT($A152,2)="44","État/Fiscal",IF(LEFT($A152,1)="1","Capitaux",IF(LEFT($A152,1)="2","Immobilisations",IF(LEFT($A152,1)="3","Stocks",IF(LEFT($A152,1)="5","Trésorerie",IF(LEFT($A152,1)="6","Charges",IF(LEFT($A152,1)="7","Produits",IF(LEFT($A152,1)="8","HAO","Autres")))))))))))))</f>
        <v/>
      </c>
      <c r="F152" s="5">
        <f>IF($A152="","",$C152-$D152)</f>
        <v/>
      </c>
      <c r="G152" s="3">
        <f>IF(OR($A152="",$D152=0),"",($C152-$D152)/ABS($D152))</f>
        <v/>
      </c>
      <c r="H152">
        <f>IF($G152="","",IF(ABS($G152)&gt;=$E$2,"À investiguer",""))</f>
        <v/>
      </c>
    </row>
    <row r="153">
      <c r="C153" s="5" t="n"/>
      <c r="D153" s="5" t="n"/>
      <c r="E153">
        <f>IF($A153="","",IF(LEFT($A153,2)="40","Achats/Fournisseurs",IF(LEFT($A153,2)="41","Ventes/Clients",IF(OR(LEFT($A153,2)="42",LEFT($A153,2)="43"),"Personnel",IF(LEFT($A153,2)="44","État/Fiscal",IF(LEFT($A153,1)="1","Capitaux",IF(LEFT($A153,1)="2","Immobilisations",IF(LEFT($A153,1)="3","Stocks",IF(LEFT($A153,1)="5","Trésorerie",IF(LEFT($A153,1)="6","Charges",IF(LEFT($A153,1)="7","Produits",IF(LEFT($A153,1)="8","HAO","Autres")))))))))))))</f>
        <v/>
      </c>
      <c r="F153" s="5">
        <f>IF($A153="","",$C153-$D153)</f>
        <v/>
      </c>
      <c r="G153" s="3">
        <f>IF(OR($A153="",$D153=0),"",($C153-$D153)/ABS($D153))</f>
        <v/>
      </c>
      <c r="H153">
        <f>IF($G153="","",IF(ABS($G153)&gt;=$E$2,"À investiguer",""))</f>
        <v/>
      </c>
    </row>
    <row r="154">
      <c r="C154" s="5" t="n"/>
      <c r="D154" s="5" t="n"/>
      <c r="E154">
        <f>IF($A154="","",IF(LEFT($A154,2)="40","Achats/Fournisseurs",IF(LEFT($A154,2)="41","Ventes/Clients",IF(OR(LEFT($A154,2)="42",LEFT($A154,2)="43"),"Personnel",IF(LEFT($A154,2)="44","État/Fiscal",IF(LEFT($A154,1)="1","Capitaux",IF(LEFT($A154,1)="2","Immobilisations",IF(LEFT($A154,1)="3","Stocks",IF(LEFT($A154,1)="5","Trésorerie",IF(LEFT($A154,1)="6","Charges",IF(LEFT($A154,1)="7","Produits",IF(LEFT($A154,1)="8","HAO","Autres")))))))))))))</f>
        <v/>
      </c>
      <c r="F154" s="5">
        <f>IF($A154="","",$C154-$D154)</f>
        <v/>
      </c>
      <c r="G154" s="3">
        <f>IF(OR($A154="",$D154=0),"",($C154-$D154)/ABS($D154))</f>
        <v/>
      </c>
      <c r="H154">
        <f>IF($G154="","",IF(ABS($G154)&gt;=$E$2,"À investiguer",""))</f>
        <v/>
      </c>
    </row>
    <row r="155">
      <c r="C155" s="5" t="n"/>
      <c r="D155" s="5" t="n"/>
      <c r="E155">
        <f>IF($A155="","",IF(LEFT($A155,2)="40","Achats/Fournisseurs",IF(LEFT($A155,2)="41","Ventes/Clients",IF(OR(LEFT($A155,2)="42",LEFT($A155,2)="43"),"Personnel",IF(LEFT($A155,2)="44","État/Fiscal",IF(LEFT($A155,1)="1","Capitaux",IF(LEFT($A155,1)="2","Immobilisations",IF(LEFT($A155,1)="3","Stocks",IF(LEFT($A155,1)="5","Trésorerie",IF(LEFT($A155,1)="6","Charges",IF(LEFT($A155,1)="7","Produits",IF(LEFT($A155,1)="8","HAO","Autres")))))))))))))</f>
        <v/>
      </c>
      <c r="F155" s="5">
        <f>IF($A155="","",$C155-$D155)</f>
        <v/>
      </c>
      <c r="G155" s="3">
        <f>IF(OR($A155="",$D155=0),"",($C155-$D155)/ABS($D155))</f>
        <v/>
      </c>
      <c r="H155">
        <f>IF($G155="","",IF(ABS($G155)&gt;=$E$2,"À investiguer",""))</f>
        <v/>
      </c>
    </row>
    <row r="156">
      <c r="C156" s="5" t="n"/>
      <c r="D156" s="5" t="n"/>
      <c r="E156">
        <f>IF($A156="","",IF(LEFT($A156,2)="40","Achats/Fournisseurs",IF(LEFT($A156,2)="41","Ventes/Clients",IF(OR(LEFT($A156,2)="42",LEFT($A156,2)="43"),"Personnel",IF(LEFT($A156,2)="44","État/Fiscal",IF(LEFT($A156,1)="1","Capitaux",IF(LEFT($A156,1)="2","Immobilisations",IF(LEFT($A156,1)="3","Stocks",IF(LEFT($A156,1)="5","Trésorerie",IF(LEFT($A156,1)="6","Charges",IF(LEFT($A156,1)="7","Produits",IF(LEFT($A156,1)="8","HAO","Autres")))))))))))))</f>
        <v/>
      </c>
      <c r="F156" s="5">
        <f>IF($A156="","",$C156-$D156)</f>
        <v/>
      </c>
      <c r="G156" s="3">
        <f>IF(OR($A156="",$D156=0),"",($C156-$D156)/ABS($D156))</f>
        <v/>
      </c>
      <c r="H156">
        <f>IF($G156="","",IF(ABS($G156)&gt;=$E$2,"À investiguer",""))</f>
        <v/>
      </c>
    </row>
    <row r="157">
      <c r="C157" s="5" t="n"/>
      <c r="D157" s="5" t="n"/>
      <c r="E157">
        <f>IF($A157="","",IF(LEFT($A157,2)="40","Achats/Fournisseurs",IF(LEFT($A157,2)="41","Ventes/Clients",IF(OR(LEFT($A157,2)="42",LEFT($A157,2)="43"),"Personnel",IF(LEFT($A157,2)="44","État/Fiscal",IF(LEFT($A157,1)="1","Capitaux",IF(LEFT($A157,1)="2","Immobilisations",IF(LEFT($A157,1)="3","Stocks",IF(LEFT($A157,1)="5","Trésorerie",IF(LEFT($A157,1)="6","Charges",IF(LEFT($A157,1)="7","Produits",IF(LEFT($A157,1)="8","HAO","Autres")))))))))))))</f>
        <v/>
      </c>
      <c r="F157" s="5">
        <f>IF($A157="","",$C157-$D157)</f>
        <v/>
      </c>
      <c r="G157" s="3">
        <f>IF(OR($A157="",$D157=0),"",($C157-$D157)/ABS($D157))</f>
        <v/>
      </c>
      <c r="H157">
        <f>IF($G157="","",IF(ABS($G157)&gt;=$E$2,"À investiguer",""))</f>
        <v/>
      </c>
    </row>
    <row r="158">
      <c r="C158" s="5" t="n"/>
      <c r="D158" s="5" t="n"/>
      <c r="E158">
        <f>IF($A158="","",IF(LEFT($A158,2)="40","Achats/Fournisseurs",IF(LEFT($A158,2)="41","Ventes/Clients",IF(OR(LEFT($A158,2)="42",LEFT($A158,2)="43"),"Personnel",IF(LEFT($A158,2)="44","État/Fiscal",IF(LEFT($A158,1)="1","Capitaux",IF(LEFT($A158,1)="2","Immobilisations",IF(LEFT($A158,1)="3","Stocks",IF(LEFT($A158,1)="5","Trésorerie",IF(LEFT($A158,1)="6","Charges",IF(LEFT($A158,1)="7","Produits",IF(LEFT($A158,1)="8","HAO","Autres")))))))))))))</f>
        <v/>
      </c>
      <c r="F158" s="5">
        <f>IF($A158="","",$C158-$D158)</f>
        <v/>
      </c>
      <c r="G158" s="3">
        <f>IF(OR($A158="",$D158=0),"",($C158-$D158)/ABS($D158))</f>
        <v/>
      </c>
      <c r="H158">
        <f>IF($G158="","",IF(ABS($G158)&gt;=$E$2,"À investiguer",""))</f>
        <v/>
      </c>
    </row>
    <row r="159">
      <c r="C159" s="5" t="n"/>
      <c r="D159" s="5" t="n"/>
      <c r="E159">
        <f>IF($A159="","",IF(LEFT($A159,2)="40","Achats/Fournisseurs",IF(LEFT($A159,2)="41","Ventes/Clients",IF(OR(LEFT($A159,2)="42",LEFT($A159,2)="43"),"Personnel",IF(LEFT($A159,2)="44","État/Fiscal",IF(LEFT($A159,1)="1","Capitaux",IF(LEFT($A159,1)="2","Immobilisations",IF(LEFT($A159,1)="3","Stocks",IF(LEFT($A159,1)="5","Trésorerie",IF(LEFT($A159,1)="6","Charges",IF(LEFT($A159,1)="7","Produits",IF(LEFT($A159,1)="8","HAO","Autres")))))))))))))</f>
        <v/>
      </c>
      <c r="F159" s="5">
        <f>IF($A159="","",$C159-$D159)</f>
        <v/>
      </c>
      <c r="G159" s="3">
        <f>IF(OR($A159="",$D159=0),"",($C159-$D159)/ABS($D159))</f>
        <v/>
      </c>
      <c r="H159">
        <f>IF($G159="","",IF(ABS($G159)&gt;=$E$2,"À investiguer",""))</f>
        <v/>
      </c>
    </row>
    <row r="160">
      <c r="C160" s="5" t="n"/>
      <c r="D160" s="5" t="n"/>
      <c r="E160">
        <f>IF($A160="","",IF(LEFT($A160,2)="40","Achats/Fournisseurs",IF(LEFT($A160,2)="41","Ventes/Clients",IF(OR(LEFT($A160,2)="42",LEFT($A160,2)="43"),"Personnel",IF(LEFT($A160,2)="44","État/Fiscal",IF(LEFT($A160,1)="1","Capitaux",IF(LEFT($A160,1)="2","Immobilisations",IF(LEFT($A160,1)="3","Stocks",IF(LEFT($A160,1)="5","Trésorerie",IF(LEFT($A160,1)="6","Charges",IF(LEFT($A160,1)="7","Produits",IF(LEFT($A160,1)="8","HAO","Autres")))))))))))))</f>
        <v/>
      </c>
      <c r="F160" s="5">
        <f>IF($A160="","",$C160-$D160)</f>
        <v/>
      </c>
      <c r="G160" s="3">
        <f>IF(OR($A160="",$D160=0),"",($C160-$D160)/ABS($D160))</f>
        <v/>
      </c>
      <c r="H160">
        <f>IF($G160="","",IF(ABS($G160)&gt;=$E$2,"À investiguer",""))</f>
        <v/>
      </c>
    </row>
    <row r="161">
      <c r="C161" s="5" t="n"/>
      <c r="D161" s="5" t="n"/>
      <c r="E161">
        <f>IF($A161="","",IF(LEFT($A161,2)="40","Achats/Fournisseurs",IF(LEFT($A161,2)="41","Ventes/Clients",IF(OR(LEFT($A161,2)="42",LEFT($A161,2)="43"),"Personnel",IF(LEFT($A161,2)="44","État/Fiscal",IF(LEFT($A161,1)="1","Capitaux",IF(LEFT($A161,1)="2","Immobilisations",IF(LEFT($A161,1)="3","Stocks",IF(LEFT($A161,1)="5","Trésorerie",IF(LEFT($A161,1)="6","Charges",IF(LEFT($A161,1)="7","Produits",IF(LEFT($A161,1)="8","HAO","Autres")))))))))))))</f>
        <v/>
      </c>
      <c r="F161" s="5">
        <f>IF($A161="","",$C161-$D161)</f>
        <v/>
      </c>
      <c r="G161" s="3">
        <f>IF(OR($A161="",$D161=0),"",($C161-$D161)/ABS($D161))</f>
        <v/>
      </c>
      <c r="H161">
        <f>IF($G161="","",IF(ABS($G161)&gt;=$E$2,"À investiguer",""))</f>
        <v/>
      </c>
    </row>
    <row r="162">
      <c r="C162" s="5" t="n"/>
      <c r="D162" s="5" t="n"/>
      <c r="E162">
        <f>IF($A162="","",IF(LEFT($A162,2)="40","Achats/Fournisseurs",IF(LEFT($A162,2)="41","Ventes/Clients",IF(OR(LEFT($A162,2)="42",LEFT($A162,2)="43"),"Personnel",IF(LEFT($A162,2)="44","État/Fiscal",IF(LEFT($A162,1)="1","Capitaux",IF(LEFT($A162,1)="2","Immobilisations",IF(LEFT($A162,1)="3","Stocks",IF(LEFT($A162,1)="5","Trésorerie",IF(LEFT($A162,1)="6","Charges",IF(LEFT($A162,1)="7","Produits",IF(LEFT($A162,1)="8","HAO","Autres")))))))))))))</f>
        <v/>
      </c>
      <c r="F162" s="5">
        <f>IF($A162="","",$C162-$D162)</f>
        <v/>
      </c>
      <c r="G162" s="3">
        <f>IF(OR($A162="",$D162=0),"",($C162-$D162)/ABS($D162))</f>
        <v/>
      </c>
      <c r="H162">
        <f>IF($G162="","",IF(ABS($G162)&gt;=$E$2,"À investiguer",""))</f>
        <v/>
      </c>
    </row>
    <row r="163">
      <c r="C163" s="5" t="n"/>
      <c r="D163" s="5" t="n"/>
      <c r="E163">
        <f>IF($A163="","",IF(LEFT($A163,2)="40","Achats/Fournisseurs",IF(LEFT($A163,2)="41","Ventes/Clients",IF(OR(LEFT($A163,2)="42",LEFT($A163,2)="43"),"Personnel",IF(LEFT($A163,2)="44","État/Fiscal",IF(LEFT($A163,1)="1","Capitaux",IF(LEFT($A163,1)="2","Immobilisations",IF(LEFT($A163,1)="3","Stocks",IF(LEFT($A163,1)="5","Trésorerie",IF(LEFT($A163,1)="6","Charges",IF(LEFT($A163,1)="7","Produits",IF(LEFT($A163,1)="8","HAO","Autres")))))))))))))</f>
        <v/>
      </c>
      <c r="F163" s="5">
        <f>IF($A163="","",$C163-$D163)</f>
        <v/>
      </c>
      <c r="G163" s="3">
        <f>IF(OR($A163="",$D163=0),"",($C163-$D163)/ABS($D163))</f>
        <v/>
      </c>
      <c r="H163">
        <f>IF($G163="","",IF(ABS($G163)&gt;=$E$2,"À investiguer",""))</f>
        <v/>
      </c>
    </row>
    <row r="164">
      <c r="C164" s="5" t="n"/>
      <c r="D164" s="5" t="n"/>
      <c r="E164">
        <f>IF($A164="","",IF(LEFT($A164,2)="40","Achats/Fournisseurs",IF(LEFT($A164,2)="41","Ventes/Clients",IF(OR(LEFT($A164,2)="42",LEFT($A164,2)="43"),"Personnel",IF(LEFT($A164,2)="44","État/Fiscal",IF(LEFT($A164,1)="1","Capitaux",IF(LEFT($A164,1)="2","Immobilisations",IF(LEFT($A164,1)="3","Stocks",IF(LEFT($A164,1)="5","Trésorerie",IF(LEFT($A164,1)="6","Charges",IF(LEFT($A164,1)="7","Produits",IF(LEFT($A164,1)="8","HAO","Autres")))))))))))))</f>
        <v/>
      </c>
      <c r="F164" s="5">
        <f>IF($A164="","",$C164-$D164)</f>
        <v/>
      </c>
      <c r="G164" s="3">
        <f>IF(OR($A164="",$D164=0),"",($C164-$D164)/ABS($D164))</f>
        <v/>
      </c>
      <c r="H164">
        <f>IF($G164="","",IF(ABS($G164)&gt;=$E$2,"À investiguer",""))</f>
        <v/>
      </c>
    </row>
    <row r="165">
      <c r="C165" s="5" t="n"/>
      <c r="D165" s="5" t="n"/>
      <c r="E165">
        <f>IF($A165="","",IF(LEFT($A165,2)="40","Achats/Fournisseurs",IF(LEFT($A165,2)="41","Ventes/Clients",IF(OR(LEFT($A165,2)="42",LEFT($A165,2)="43"),"Personnel",IF(LEFT($A165,2)="44","État/Fiscal",IF(LEFT($A165,1)="1","Capitaux",IF(LEFT($A165,1)="2","Immobilisations",IF(LEFT($A165,1)="3","Stocks",IF(LEFT($A165,1)="5","Trésorerie",IF(LEFT($A165,1)="6","Charges",IF(LEFT($A165,1)="7","Produits",IF(LEFT($A165,1)="8","HAO","Autres")))))))))))))</f>
        <v/>
      </c>
      <c r="F165" s="5">
        <f>IF($A165="","",$C165-$D165)</f>
        <v/>
      </c>
      <c r="G165" s="3">
        <f>IF(OR($A165="",$D165=0),"",($C165-$D165)/ABS($D165))</f>
        <v/>
      </c>
      <c r="H165">
        <f>IF($G165="","",IF(ABS($G165)&gt;=$E$2,"À investiguer",""))</f>
        <v/>
      </c>
    </row>
    <row r="166">
      <c r="C166" s="5" t="n"/>
      <c r="D166" s="5" t="n"/>
      <c r="E166">
        <f>IF($A166="","",IF(LEFT($A166,2)="40","Achats/Fournisseurs",IF(LEFT($A166,2)="41","Ventes/Clients",IF(OR(LEFT($A166,2)="42",LEFT($A166,2)="43"),"Personnel",IF(LEFT($A166,2)="44","État/Fiscal",IF(LEFT($A166,1)="1","Capitaux",IF(LEFT($A166,1)="2","Immobilisations",IF(LEFT($A166,1)="3","Stocks",IF(LEFT($A166,1)="5","Trésorerie",IF(LEFT($A166,1)="6","Charges",IF(LEFT($A166,1)="7","Produits",IF(LEFT($A166,1)="8","HAO","Autres")))))))))))))</f>
        <v/>
      </c>
      <c r="F166" s="5">
        <f>IF($A166="","",$C166-$D166)</f>
        <v/>
      </c>
      <c r="G166" s="3">
        <f>IF(OR($A166="",$D166=0),"",($C166-$D166)/ABS($D166))</f>
        <v/>
      </c>
      <c r="H166">
        <f>IF($G166="","",IF(ABS($G166)&gt;=$E$2,"À investiguer",""))</f>
        <v/>
      </c>
    </row>
    <row r="167">
      <c r="C167" s="5" t="n"/>
      <c r="D167" s="5" t="n"/>
      <c r="E167">
        <f>IF($A167="","",IF(LEFT($A167,2)="40","Achats/Fournisseurs",IF(LEFT($A167,2)="41","Ventes/Clients",IF(OR(LEFT($A167,2)="42",LEFT($A167,2)="43"),"Personnel",IF(LEFT($A167,2)="44","État/Fiscal",IF(LEFT($A167,1)="1","Capitaux",IF(LEFT($A167,1)="2","Immobilisations",IF(LEFT($A167,1)="3","Stocks",IF(LEFT($A167,1)="5","Trésorerie",IF(LEFT($A167,1)="6","Charges",IF(LEFT($A167,1)="7","Produits",IF(LEFT($A167,1)="8","HAO","Autres")))))))))))))</f>
        <v/>
      </c>
      <c r="F167" s="5">
        <f>IF($A167="","",$C167-$D167)</f>
        <v/>
      </c>
      <c r="G167" s="3">
        <f>IF(OR($A167="",$D167=0),"",($C167-$D167)/ABS($D167))</f>
        <v/>
      </c>
      <c r="H167">
        <f>IF($G167="","",IF(ABS($G167)&gt;=$E$2,"À investiguer",""))</f>
        <v/>
      </c>
    </row>
    <row r="168">
      <c r="C168" s="5" t="n"/>
      <c r="D168" s="5" t="n"/>
      <c r="E168">
        <f>IF($A168="","",IF(LEFT($A168,2)="40","Achats/Fournisseurs",IF(LEFT($A168,2)="41","Ventes/Clients",IF(OR(LEFT($A168,2)="42",LEFT($A168,2)="43"),"Personnel",IF(LEFT($A168,2)="44","État/Fiscal",IF(LEFT($A168,1)="1","Capitaux",IF(LEFT($A168,1)="2","Immobilisations",IF(LEFT($A168,1)="3","Stocks",IF(LEFT($A168,1)="5","Trésorerie",IF(LEFT($A168,1)="6","Charges",IF(LEFT($A168,1)="7","Produits",IF(LEFT($A168,1)="8","HAO","Autres")))))))))))))</f>
        <v/>
      </c>
      <c r="F168" s="5">
        <f>IF($A168="","",$C168-$D168)</f>
        <v/>
      </c>
      <c r="G168" s="3">
        <f>IF(OR($A168="",$D168=0),"",($C168-$D168)/ABS($D168))</f>
        <v/>
      </c>
      <c r="H168">
        <f>IF($G168="","",IF(ABS($G168)&gt;=$E$2,"À investiguer",""))</f>
        <v/>
      </c>
    </row>
    <row r="169">
      <c r="C169" s="5" t="n"/>
      <c r="D169" s="5" t="n"/>
      <c r="E169">
        <f>IF($A169="","",IF(LEFT($A169,2)="40","Achats/Fournisseurs",IF(LEFT($A169,2)="41","Ventes/Clients",IF(OR(LEFT($A169,2)="42",LEFT($A169,2)="43"),"Personnel",IF(LEFT($A169,2)="44","État/Fiscal",IF(LEFT($A169,1)="1","Capitaux",IF(LEFT($A169,1)="2","Immobilisations",IF(LEFT($A169,1)="3","Stocks",IF(LEFT($A169,1)="5","Trésorerie",IF(LEFT($A169,1)="6","Charges",IF(LEFT($A169,1)="7","Produits",IF(LEFT($A169,1)="8","HAO","Autres")))))))))))))</f>
        <v/>
      </c>
      <c r="F169" s="5">
        <f>IF($A169="","",$C169-$D169)</f>
        <v/>
      </c>
      <c r="G169" s="3">
        <f>IF(OR($A169="",$D169=0),"",($C169-$D169)/ABS($D169))</f>
        <v/>
      </c>
      <c r="H169">
        <f>IF($G169="","",IF(ABS($G169)&gt;=$E$2,"À investiguer",""))</f>
        <v/>
      </c>
    </row>
    <row r="170">
      <c r="C170" s="5" t="n"/>
      <c r="D170" s="5" t="n"/>
      <c r="E170">
        <f>IF($A170="","",IF(LEFT($A170,2)="40","Achats/Fournisseurs",IF(LEFT($A170,2)="41","Ventes/Clients",IF(OR(LEFT($A170,2)="42",LEFT($A170,2)="43"),"Personnel",IF(LEFT($A170,2)="44","État/Fiscal",IF(LEFT($A170,1)="1","Capitaux",IF(LEFT($A170,1)="2","Immobilisations",IF(LEFT($A170,1)="3","Stocks",IF(LEFT($A170,1)="5","Trésorerie",IF(LEFT($A170,1)="6","Charges",IF(LEFT($A170,1)="7","Produits",IF(LEFT($A170,1)="8","HAO","Autres")))))))))))))</f>
        <v/>
      </c>
      <c r="F170" s="5">
        <f>IF($A170="","",$C170-$D170)</f>
        <v/>
      </c>
      <c r="G170" s="3">
        <f>IF(OR($A170="",$D170=0),"",($C170-$D170)/ABS($D170))</f>
        <v/>
      </c>
      <c r="H170">
        <f>IF($G170="","",IF(ABS($G170)&gt;=$E$2,"À investiguer",""))</f>
        <v/>
      </c>
    </row>
    <row r="171">
      <c r="C171" s="5" t="n"/>
      <c r="D171" s="5" t="n"/>
      <c r="E171">
        <f>IF($A171="","",IF(LEFT($A171,2)="40","Achats/Fournisseurs",IF(LEFT($A171,2)="41","Ventes/Clients",IF(OR(LEFT($A171,2)="42",LEFT($A171,2)="43"),"Personnel",IF(LEFT($A171,2)="44","État/Fiscal",IF(LEFT($A171,1)="1","Capitaux",IF(LEFT($A171,1)="2","Immobilisations",IF(LEFT($A171,1)="3","Stocks",IF(LEFT($A171,1)="5","Trésorerie",IF(LEFT($A171,1)="6","Charges",IF(LEFT($A171,1)="7","Produits",IF(LEFT($A171,1)="8","HAO","Autres")))))))))))))</f>
        <v/>
      </c>
      <c r="F171" s="5">
        <f>IF($A171="","",$C171-$D171)</f>
        <v/>
      </c>
      <c r="G171" s="3">
        <f>IF(OR($A171="",$D171=0),"",($C171-$D171)/ABS($D171))</f>
        <v/>
      </c>
      <c r="H171">
        <f>IF($G171="","",IF(ABS($G171)&gt;=$E$2,"À investiguer",""))</f>
        <v/>
      </c>
    </row>
    <row r="172">
      <c r="C172" s="5" t="n"/>
      <c r="D172" s="5" t="n"/>
      <c r="E172">
        <f>IF($A172="","",IF(LEFT($A172,2)="40","Achats/Fournisseurs",IF(LEFT($A172,2)="41","Ventes/Clients",IF(OR(LEFT($A172,2)="42",LEFT($A172,2)="43"),"Personnel",IF(LEFT($A172,2)="44","État/Fiscal",IF(LEFT($A172,1)="1","Capitaux",IF(LEFT($A172,1)="2","Immobilisations",IF(LEFT($A172,1)="3","Stocks",IF(LEFT($A172,1)="5","Trésorerie",IF(LEFT($A172,1)="6","Charges",IF(LEFT($A172,1)="7","Produits",IF(LEFT($A172,1)="8","HAO","Autres")))))))))))))</f>
        <v/>
      </c>
      <c r="F172" s="5">
        <f>IF($A172="","",$C172-$D172)</f>
        <v/>
      </c>
      <c r="G172" s="3">
        <f>IF(OR($A172="",$D172=0),"",($C172-$D172)/ABS($D172))</f>
        <v/>
      </c>
      <c r="H172">
        <f>IF($G172="","",IF(ABS($G172)&gt;=$E$2,"À investiguer",""))</f>
        <v/>
      </c>
    </row>
    <row r="173">
      <c r="C173" s="5" t="n"/>
      <c r="D173" s="5" t="n"/>
      <c r="E173">
        <f>IF($A173="","",IF(LEFT($A173,2)="40","Achats/Fournisseurs",IF(LEFT($A173,2)="41","Ventes/Clients",IF(OR(LEFT($A173,2)="42",LEFT($A173,2)="43"),"Personnel",IF(LEFT($A173,2)="44","État/Fiscal",IF(LEFT($A173,1)="1","Capitaux",IF(LEFT($A173,1)="2","Immobilisations",IF(LEFT($A173,1)="3","Stocks",IF(LEFT($A173,1)="5","Trésorerie",IF(LEFT($A173,1)="6","Charges",IF(LEFT($A173,1)="7","Produits",IF(LEFT($A173,1)="8","HAO","Autres")))))))))))))</f>
        <v/>
      </c>
      <c r="F173" s="5">
        <f>IF($A173="","",$C173-$D173)</f>
        <v/>
      </c>
      <c r="G173" s="3">
        <f>IF(OR($A173="",$D173=0),"",($C173-$D173)/ABS($D173))</f>
        <v/>
      </c>
      <c r="H173">
        <f>IF($G173="","",IF(ABS($G173)&gt;=$E$2,"À investiguer",""))</f>
        <v/>
      </c>
    </row>
    <row r="174">
      <c r="C174" s="5" t="n"/>
      <c r="D174" s="5" t="n"/>
      <c r="E174">
        <f>IF($A174="","",IF(LEFT($A174,2)="40","Achats/Fournisseurs",IF(LEFT($A174,2)="41","Ventes/Clients",IF(OR(LEFT($A174,2)="42",LEFT($A174,2)="43"),"Personnel",IF(LEFT($A174,2)="44","État/Fiscal",IF(LEFT($A174,1)="1","Capitaux",IF(LEFT($A174,1)="2","Immobilisations",IF(LEFT($A174,1)="3","Stocks",IF(LEFT($A174,1)="5","Trésorerie",IF(LEFT($A174,1)="6","Charges",IF(LEFT($A174,1)="7","Produits",IF(LEFT($A174,1)="8","HAO","Autres")))))))))))))</f>
        <v/>
      </c>
      <c r="F174" s="5">
        <f>IF($A174="","",$C174-$D174)</f>
        <v/>
      </c>
      <c r="G174" s="3">
        <f>IF(OR($A174="",$D174=0),"",($C174-$D174)/ABS($D174))</f>
        <v/>
      </c>
      <c r="H174">
        <f>IF($G174="","",IF(ABS($G174)&gt;=$E$2,"À investiguer",""))</f>
        <v/>
      </c>
    </row>
    <row r="175">
      <c r="C175" s="5" t="n"/>
      <c r="D175" s="5" t="n"/>
      <c r="E175">
        <f>IF($A175="","",IF(LEFT($A175,2)="40","Achats/Fournisseurs",IF(LEFT($A175,2)="41","Ventes/Clients",IF(OR(LEFT($A175,2)="42",LEFT($A175,2)="43"),"Personnel",IF(LEFT($A175,2)="44","État/Fiscal",IF(LEFT($A175,1)="1","Capitaux",IF(LEFT($A175,1)="2","Immobilisations",IF(LEFT($A175,1)="3","Stocks",IF(LEFT($A175,1)="5","Trésorerie",IF(LEFT($A175,1)="6","Charges",IF(LEFT($A175,1)="7","Produits",IF(LEFT($A175,1)="8","HAO","Autres")))))))))))))</f>
        <v/>
      </c>
      <c r="F175" s="5">
        <f>IF($A175="","",$C175-$D175)</f>
        <v/>
      </c>
      <c r="G175" s="3">
        <f>IF(OR($A175="",$D175=0),"",($C175-$D175)/ABS($D175))</f>
        <v/>
      </c>
      <c r="H175">
        <f>IF($G175="","",IF(ABS($G175)&gt;=$E$2,"À investiguer",""))</f>
        <v/>
      </c>
    </row>
    <row r="176">
      <c r="C176" s="5" t="n"/>
      <c r="D176" s="5" t="n"/>
      <c r="E176">
        <f>IF($A176="","",IF(LEFT($A176,2)="40","Achats/Fournisseurs",IF(LEFT($A176,2)="41","Ventes/Clients",IF(OR(LEFT($A176,2)="42",LEFT($A176,2)="43"),"Personnel",IF(LEFT($A176,2)="44","État/Fiscal",IF(LEFT($A176,1)="1","Capitaux",IF(LEFT($A176,1)="2","Immobilisations",IF(LEFT($A176,1)="3","Stocks",IF(LEFT($A176,1)="5","Trésorerie",IF(LEFT($A176,1)="6","Charges",IF(LEFT($A176,1)="7","Produits",IF(LEFT($A176,1)="8","HAO","Autres")))))))))))))</f>
        <v/>
      </c>
      <c r="F176" s="5">
        <f>IF($A176="","",$C176-$D176)</f>
        <v/>
      </c>
      <c r="G176" s="3">
        <f>IF(OR($A176="",$D176=0),"",($C176-$D176)/ABS($D176))</f>
        <v/>
      </c>
      <c r="H176">
        <f>IF($G176="","",IF(ABS($G176)&gt;=$E$2,"À investiguer",""))</f>
        <v/>
      </c>
    </row>
    <row r="177">
      <c r="C177" s="5" t="n"/>
      <c r="D177" s="5" t="n"/>
      <c r="E177">
        <f>IF($A177="","",IF(LEFT($A177,2)="40","Achats/Fournisseurs",IF(LEFT($A177,2)="41","Ventes/Clients",IF(OR(LEFT($A177,2)="42",LEFT($A177,2)="43"),"Personnel",IF(LEFT($A177,2)="44","État/Fiscal",IF(LEFT($A177,1)="1","Capitaux",IF(LEFT($A177,1)="2","Immobilisations",IF(LEFT($A177,1)="3","Stocks",IF(LEFT($A177,1)="5","Trésorerie",IF(LEFT($A177,1)="6","Charges",IF(LEFT($A177,1)="7","Produits",IF(LEFT($A177,1)="8","HAO","Autres")))))))))))))</f>
        <v/>
      </c>
      <c r="F177" s="5">
        <f>IF($A177="","",$C177-$D177)</f>
        <v/>
      </c>
      <c r="G177" s="3">
        <f>IF(OR($A177="",$D177=0),"",($C177-$D177)/ABS($D177))</f>
        <v/>
      </c>
      <c r="H177">
        <f>IF($G177="","",IF(ABS($G177)&gt;=$E$2,"À investiguer",""))</f>
        <v/>
      </c>
    </row>
    <row r="178">
      <c r="C178" s="5" t="n"/>
      <c r="D178" s="5" t="n"/>
      <c r="E178">
        <f>IF($A178="","",IF(LEFT($A178,2)="40","Achats/Fournisseurs",IF(LEFT($A178,2)="41","Ventes/Clients",IF(OR(LEFT($A178,2)="42",LEFT($A178,2)="43"),"Personnel",IF(LEFT($A178,2)="44","État/Fiscal",IF(LEFT($A178,1)="1","Capitaux",IF(LEFT($A178,1)="2","Immobilisations",IF(LEFT($A178,1)="3","Stocks",IF(LEFT($A178,1)="5","Trésorerie",IF(LEFT($A178,1)="6","Charges",IF(LEFT($A178,1)="7","Produits",IF(LEFT($A178,1)="8","HAO","Autres")))))))))))))</f>
        <v/>
      </c>
      <c r="F178" s="5">
        <f>IF($A178="","",$C178-$D178)</f>
        <v/>
      </c>
      <c r="G178" s="3">
        <f>IF(OR($A178="",$D178=0),"",($C178-$D178)/ABS($D178))</f>
        <v/>
      </c>
      <c r="H178">
        <f>IF($G178="","",IF(ABS($G178)&gt;=$E$2,"À investiguer",""))</f>
        <v/>
      </c>
    </row>
    <row r="179">
      <c r="C179" s="5" t="n"/>
      <c r="D179" s="5" t="n"/>
      <c r="E179">
        <f>IF($A179="","",IF(LEFT($A179,2)="40","Achats/Fournisseurs",IF(LEFT($A179,2)="41","Ventes/Clients",IF(OR(LEFT($A179,2)="42",LEFT($A179,2)="43"),"Personnel",IF(LEFT($A179,2)="44","État/Fiscal",IF(LEFT($A179,1)="1","Capitaux",IF(LEFT($A179,1)="2","Immobilisations",IF(LEFT($A179,1)="3","Stocks",IF(LEFT($A179,1)="5","Trésorerie",IF(LEFT($A179,1)="6","Charges",IF(LEFT($A179,1)="7","Produits",IF(LEFT($A179,1)="8","HAO","Autres")))))))))))))</f>
        <v/>
      </c>
      <c r="F179" s="5">
        <f>IF($A179="","",$C179-$D179)</f>
        <v/>
      </c>
      <c r="G179" s="3">
        <f>IF(OR($A179="",$D179=0),"",($C179-$D179)/ABS($D179))</f>
        <v/>
      </c>
      <c r="H179">
        <f>IF($G179="","",IF(ABS($G179)&gt;=$E$2,"À investiguer",""))</f>
        <v/>
      </c>
    </row>
    <row r="180">
      <c r="C180" s="5" t="n"/>
      <c r="D180" s="5" t="n"/>
      <c r="E180">
        <f>IF($A180="","",IF(LEFT($A180,2)="40","Achats/Fournisseurs",IF(LEFT($A180,2)="41","Ventes/Clients",IF(OR(LEFT($A180,2)="42",LEFT($A180,2)="43"),"Personnel",IF(LEFT($A180,2)="44","État/Fiscal",IF(LEFT($A180,1)="1","Capitaux",IF(LEFT($A180,1)="2","Immobilisations",IF(LEFT($A180,1)="3","Stocks",IF(LEFT($A180,1)="5","Trésorerie",IF(LEFT($A180,1)="6","Charges",IF(LEFT($A180,1)="7","Produits",IF(LEFT($A180,1)="8","HAO","Autres")))))))))))))</f>
        <v/>
      </c>
      <c r="F180" s="5">
        <f>IF($A180="","",$C180-$D180)</f>
        <v/>
      </c>
      <c r="G180" s="3">
        <f>IF(OR($A180="",$D180=0),"",($C180-$D180)/ABS($D180))</f>
        <v/>
      </c>
      <c r="H180">
        <f>IF($G180="","",IF(ABS($G180)&gt;=$E$2,"À investiguer",""))</f>
        <v/>
      </c>
    </row>
    <row r="181">
      <c r="C181" s="5" t="n"/>
      <c r="D181" s="5" t="n"/>
      <c r="E181">
        <f>IF($A181="","",IF(LEFT($A181,2)="40","Achats/Fournisseurs",IF(LEFT($A181,2)="41","Ventes/Clients",IF(OR(LEFT($A181,2)="42",LEFT($A181,2)="43"),"Personnel",IF(LEFT($A181,2)="44","État/Fiscal",IF(LEFT($A181,1)="1","Capitaux",IF(LEFT($A181,1)="2","Immobilisations",IF(LEFT($A181,1)="3","Stocks",IF(LEFT($A181,1)="5","Trésorerie",IF(LEFT($A181,1)="6","Charges",IF(LEFT($A181,1)="7","Produits",IF(LEFT($A181,1)="8","HAO","Autres")))))))))))))</f>
        <v/>
      </c>
      <c r="F181" s="5">
        <f>IF($A181="","",$C181-$D181)</f>
        <v/>
      </c>
      <c r="G181" s="3">
        <f>IF(OR($A181="",$D181=0),"",($C181-$D181)/ABS($D181))</f>
        <v/>
      </c>
      <c r="H181">
        <f>IF($G181="","",IF(ABS($G181)&gt;=$E$2,"À investiguer",""))</f>
        <v/>
      </c>
    </row>
    <row r="182">
      <c r="C182" s="5" t="n"/>
      <c r="D182" s="5" t="n"/>
      <c r="E182">
        <f>IF($A182="","",IF(LEFT($A182,2)="40","Achats/Fournisseurs",IF(LEFT($A182,2)="41","Ventes/Clients",IF(OR(LEFT($A182,2)="42",LEFT($A182,2)="43"),"Personnel",IF(LEFT($A182,2)="44","État/Fiscal",IF(LEFT($A182,1)="1","Capitaux",IF(LEFT($A182,1)="2","Immobilisations",IF(LEFT($A182,1)="3","Stocks",IF(LEFT($A182,1)="5","Trésorerie",IF(LEFT($A182,1)="6","Charges",IF(LEFT($A182,1)="7","Produits",IF(LEFT($A182,1)="8","HAO","Autres")))))))))))))</f>
        <v/>
      </c>
      <c r="F182" s="5">
        <f>IF($A182="","",$C182-$D182)</f>
        <v/>
      </c>
      <c r="G182" s="3">
        <f>IF(OR($A182="",$D182=0),"",($C182-$D182)/ABS($D182))</f>
        <v/>
      </c>
      <c r="H182">
        <f>IF($G182="","",IF(ABS($G182)&gt;=$E$2,"À investiguer",""))</f>
        <v/>
      </c>
    </row>
    <row r="183">
      <c r="C183" s="5" t="n"/>
      <c r="D183" s="5" t="n"/>
      <c r="E183">
        <f>IF($A183="","",IF(LEFT($A183,2)="40","Achats/Fournisseurs",IF(LEFT($A183,2)="41","Ventes/Clients",IF(OR(LEFT($A183,2)="42",LEFT($A183,2)="43"),"Personnel",IF(LEFT($A183,2)="44","État/Fiscal",IF(LEFT($A183,1)="1","Capitaux",IF(LEFT($A183,1)="2","Immobilisations",IF(LEFT($A183,1)="3","Stocks",IF(LEFT($A183,1)="5","Trésorerie",IF(LEFT($A183,1)="6","Charges",IF(LEFT($A183,1)="7","Produits",IF(LEFT($A183,1)="8","HAO","Autres")))))))))))))</f>
        <v/>
      </c>
      <c r="F183" s="5">
        <f>IF($A183="","",$C183-$D183)</f>
        <v/>
      </c>
      <c r="G183" s="3">
        <f>IF(OR($A183="",$D183=0),"",($C183-$D183)/ABS($D183))</f>
        <v/>
      </c>
      <c r="H183">
        <f>IF($G183="","",IF(ABS($G183)&gt;=$E$2,"À investiguer",""))</f>
        <v/>
      </c>
    </row>
    <row r="184">
      <c r="C184" s="5" t="n"/>
      <c r="D184" s="5" t="n"/>
      <c r="E184">
        <f>IF($A184="","",IF(LEFT($A184,2)="40","Achats/Fournisseurs",IF(LEFT($A184,2)="41","Ventes/Clients",IF(OR(LEFT($A184,2)="42",LEFT($A184,2)="43"),"Personnel",IF(LEFT($A184,2)="44","État/Fiscal",IF(LEFT($A184,1)="1","Capitaux",IF(LEFT($A184,1)="2","Immobilisations",IF(LEFT($A184,1)="3","Stocks",IF(LEFT($A184,1)="5","Trésorerie",IF(LEFT($A184,1)="6","Charges",IF(LEFT($A184,1)="7","Produits",IF(LEFT($A184,1)="8","HAO","Autres")))))))))))))</f>
        <v/>
      </c>
      <c r="F184" s="5">
        <f>IF($A184="","",$C184-$D184)</f>
        <v/>
      </c>
      <c r="G184" s="3">
        <f>IF(OR($A184="",$D184=0),"",($C184-$D184)/ABS($D184))</f>
        <v/>
      </c>
      <c r="H184">
        <f>IF($G184="","",IF(ABS($G184)&gt;=$E$2,"À investiguer",""))</f>
        <v/>
      </c>
    </row>
    <row r="185">
      <c r="C185" s="5" t="n"/>
      <c r="D185" s="5" t="n"/>
      <c r="E185">
        <f>IF($A185="","",IF(LEFT($A185,2)="40","Achats/Fournisseurs",IF(LEFT($A185,2)="41","Ventes/Clients",IF(OR(LEFT($A185,2)="42",LEFT($A185,2)="43"),"Personnel",IF(LEFT($A185,2)="44","État/Fiscal",IF(LEFT($A185,1)="1","Capitaux",IF(LEFT($A185,1)="2","Immobilisations",IF(LEFT($A185,1)="3","Stocks",IF(LEFT($A185,1)="5","Trésorerie",IF(LEFT($A185,1)="6","Charges",IF(LEFT($A185,1)="7","Produits",IF(LEFT($A185,1)="8","HAO","Autres")))))))))))))</f>
        <v/>
      </c>
      <c r="F185" s="5">
        <f>IF($A185="","",$C185-$D185)</f>
        <v/>
      </c>
      <c r="G185" s="3">
        <f>IF(OR($A185="",$D185=0),"",($C185-$D185)/ABS($D185))</f>
        <v/>
      </c>
      <c r="H185">
        <f>IF($G185="","",IF(ABS($G185)&gt;=$E$2,"À investiguer",""))</f>
        <v/>
      </c>
    </row>
    <row r="186">
      <c r="C186" s="5" t="n"/>
      <c r="D186" s="5" t="n"/>
      <c r="E186">
        <f>IF($A186="","",IF(LEFT($A186,2)="40","Achats/Fournisseurs",IF(LEFT($A186,2)="41","Ventes/Clients",IF(OR(LEFT($A186,2)="42",LEFT($A186,2)="43"),"Personnel",IF(LEFT($A186,2)="44","État/Fiscal",IF(LEFT($A186,1)="1","Capitaux",IF(LEFT($A186,1)="2","Immobilisations",IF(LEFT($A186,1)="3","Stocks",IF(LEFT($A186,1)="5","Trésorerie",IF(LEFT($A186,1)="6","Charges",IF(LEFT($A186,1)="7","Produits",IF(LEFT($A186,1)="8","HAO","Autres")))))))))))))</f>
        <v/>
      </c>
      <c r="F186" s="5">
        <f>IF($A186="","",$C186-$D186)</f>
        <v/>
      </c>
      <c r="G186" s="3">
        <f>IF(OR($A186="",$D186=0),"",($C186-$D186)/ABS($D186))</f>
        <v/>
      </c>
      <c r="H186">
        <f>IF($G186="","",IF(ABS($G186)&gt;=$E$2,"À investiguer",""))</f>
        <v/>
      </c>
    </row>
    <row r="187">
      <c r="C187" s="5" t="n"/>
      <c r="D187" s="5" t="n"/>
      <c r="E187">
        <f>IF($A187="","",IF(LEFT($A187,2)="40","Achats/Fournisseurs",IF(LEFT($A187,2)="41","Ventes/Clients",IF(OR(LEFT($A187,2)="42",LEFT($A187,2)="43"),"Personnel",IF(LEFT($A187,2)="44","État/Fiscal",IF(LEFT($A187,1)="1","Capitaux",IF(LEFT($A187,1)="2","Immobilisations",IF(LEFT($A187,1)="3","Stocks",IF(LEFT($A187,1)="5","Trésorerie",IF(LEFT($A187,1)="6","Charges",IF(LEFT($A187,1)="7","Produits",IF(LEFT($A187,1)="8","HAO","Autres")))))))))))))</f>
        <v/>
      </c>
      <c r="F187" s="5">
        <f>IF($A187="","",$C187-$D187)</f>
        <v/>
      </c>
      <c r="G187" s="3">
        <f>IF(OR($A187="",$D187=0),"",($C187-$D187)/ABS($D187))</f>
        <v/>
      </c>
      <c r="H187">
        <f>IF($G187="","",IF(ABS($G187)&gt;=$E$2,"À investiguer",""))</f>
        <v/>
      </c>
    </row>
    <row r="188">
      <c r="C188" s="5" t="n"/>
      <c r="D188" s="5" t="n"/>
      <c r="E188">
        <f>IF($A188="","",IF(LEFT($A188,2)="40","Achats/Fournisseurs",IF(LEFT($A188,2)="41","Ventes/Clients",IF(OR(LEFT($A188,2)="42",LEFT($A188,2)="43"),"Personnel",IF(LEFT($A188,2)="44","État/Fiscal",IF(LEFT($A188,1)="1","Capitaux",IF(LEFT($A188,1)="2","Immobilisations",IF(LEFT($A188,1)="3","Stocks",IF(LEFT($A188,1)="5","Trésorerie",IF(LEFT($A188,1)="6","Charges",IF(LEFT($A188,1)="7","Produits",IF(LEFT($A188,1)="8","HAO","Autres")))))))))))))</f>
        <v/>
      </c>
      <c r="F188" s="5">
        <f>IF($A188="","",$C188-$D188)</f>
        <v/>
      </c>
      <c r="G188" s="3">
        <f>IF(OR($A188="",$D188=0),"",($C188-$D188)/ABS($D188))</f>
        <v/>
      </c>
      <c r="H188">
        <f>IF($G188="","",IF(ABS($G188)&gt;=$E$2,"À investiguer",""))</f>
        <v/>
      </c>
    </row>
    <row r="189">
      <c r="C189" s="5" t="n"/>
      <c r="D189" s="5" t="n"/>
      <c r="E189">
        <f>IF($A189="","",IF(LEFT($A189,2)="40","Achats/Fournisseurs",IF(LEFT($A189,2)="41","Ventes/Clients",IF(OR(LEFT($A189,2)="42",LEFT($A189,2)="43"),"Personnel",IF(LEFT($A189,2)="44","État/Fiscal",IF(LEFT($A189,1)="1","Capitaux",IF(LEFT($A189,1)="2","Immobilisations",IF(LEFT($A189,1)="3","Stocks",IF(LEFT($A189,1)="5","Trésorerie",IF(LEFT($A189,1)="6","Charges",IF(LEFT($A189,1)="7","Produits",IF(LEFT($A189,1)="8","HAO","Autres")))))))))))))</f>
        <v/>
      </c>
      <c r="F189" s="5">
        <f>IF($A189="","",$C189-$D189)</f>
        <v/>
      </c>
      <c r="G189" s="3">
        <f>IF(OR($A189="",$D189=0),"",($C189-$D189)/ABS($D189))</f>
        <v/>
      </c>
      <c r="H189">
        <f>IF($G189="","",IF(ABS($G189)&gt;=$E$2,"À investiguer",""))</f>
        <v/>
      </c>
    </row>
    <row r="190">
      <c r="C190" s="5" t="n"/>
      <c r="D190" s="5" t="n"/>
      <c r="E190">
        <f>IF($A190="","",IF(LEFT($A190,2)="40","Achats/Fournisseurs",IF(LEFT($A190,2)="41","Ventes/Clients",IF(OR(LEFT($A190,2)="42",LEFT($A190,2)="43"),"Personnel",IF(LEFT($A190,2)="44","État/Fiscal",IF(LEFT($A190,1)="1","Capitaux",IF(LEFT($A190,1)="2","Immobilisations",IF(LEFT($A190,1)="3","Stocks",IF(LEFT($A190,1)="5","Trésorerie",IF(LEFT($A190,1)="6","Charges",IF(LEFT($A190,1)="7","Produits",IF(LEFT($A190,1)="8","HAO","Autres")))))))))))))</f>
        <v/>
      </c>
      <c r="F190" s="5">
        <f>IF($A190="","",$C190-$D190)</f>
        <v/>
      </c>
      <c r="G190" s="3">
        <f>IF(OR($A190="",$D190=0),"",($C190-$D190)/ABS($D190))</f>
        <v/>
      </c>
      <c r="H190">
        <f>IF($G190="","",IF(ABS($G190)&gt;=$E$2,"À investiguer",""))</f>
        <v/>
      </c>
    </row>
    <row r="191">
      <c r="C191" s="5" t="n"/>
      <c r="D191" s="5" t="n"/>
      <c r="E191">
        <f>IF($A191="","",IF(LEFT($A191,2)="40","Achats/Fournisseurs",IF(LEFT($A191,2)="41","Ventes/Clients",IF(OR(LEFT($A191,2)="42",LEFT($A191,2)="43"),"Personnel",IF(LEFT($A191,2)="44","État/Fiscal",IF(LEFT($A191,1)="1","Capitaux",IF(LEFT($A191,1)="2","Immobilisations",IF(LEFT($A191,1)="3","Stocks",IF(LEFT($A191,1)="5","Trésorerie",IF(LEFT($A191,1)="6","Charges",IF(LEFT($A191,1)="7","Produits",IF(LEFT($A191,1)="8","HAO","Autres")))))))))))))</f>
        <v/>
      </c>
      <c r="F191" s="5">
        <f>IF($A191="","",$C191-$D191)</f>
        <v/>
      </c>
      <c r="G191" s="3">
        <f>IF(OR($A191="",$D191=0),"",($C191-$D191)/ABS($D191))</f>
        <v/>
      </c>
      <c r="H191">
        <f>IF($G191="","",IF(ABS($G191)&gt;=$E$2,"À investiguer",""))</f>
        <v/>
      </c>
    </row>
    <row r="192">
      <c r="C192" s="5" t="n"/>
      <c r="D192" s="5" t="n"/>
      <c r="E192">
        <f>IF($A192="","",IF(LEFT($A192,2)="40","Achats/Fournisseurs",IF(LEFT($A192,2)="41","Ventes/Clients",IF(OR(LEFT($A192,2)="42",LEFT($A192,2)="43"),"Personnel",IF(LEFT($A192,2)="44","État/Fiscal",IF(LEFT($A192,1)="1","Capitaux",IF(LEFT($A192,1)="2","Immobilisations",IF(LEFT($A192,1)="3","Stocks",IF(LEFT($A192,1)="5","Trésorerie",IF(LEFT($A192,1)="6","Charges",IF(LEFT($A192,1)="7","Produits",IF(LEFT($A192,1)="8","HAO","Autres")))))))))))))</f>
        <v/>
      </c>
      <c r="F192" s="5">
        <f>IF($A192="","",$C192-$D192)</f>
        <v/>
      </c>
      <c r="G192" s="3">
        <f>IF(OR($A192="",$D192=0),"",($C192-$D192)/ABS($D192))</f>
        <v/>
      </c>
      <c r="H192">
        <f>IF($G192="","",IF(ABS($G192)&gt;=$E$2,"À investiguer",""))</f>
        <v/>
      </c>
    </row>
    <row r="193">
      <c r="C193" s="5" t="n"/>
      <c r="D193" s="5" t="n"/>
      <c r="E193">
        <f>IF($A193="","",IF(LEFT($A193,2)="40","Achats/Fournisseurs",IF(LEFT($A193,2)="41","Ventes/Clients",IF(OR(LEFT($A193,2)="42",LEFT($A193,2)="43"),"Personnel",IF(LEFT($A193,2)="44","État/Fiscal",IF(LEFT($A193,1)="1","Capitaux",IF(LEFT($A193,1)="2","Immobilisations",IF(LEFT($A193,1)="3","Stocks",IF(LEFT($A193,1)="5","Trésorerie",IF(LEFT($A193,1)="6","Charges",IF(LEFT($A193,1)="7","Produits",IF(LEFT($A193,1)="8","HAO","Autres")))))))))))))</f>
        <v/>
      </c>
      <c r="F193" s="5">
        <f>IF($A193="","",$C193-$D193)</f>
        <v/>
      </c>
      <c r="G193" s="3">
        <f>IF(OR($A193="",$D193=0),"",($C193-$D193)/ABS($D193))</f>
        <v/>
      </c>
      <c r="H193">
        <f>IF($G193="","",IF(ABS($G193)&gt;=$E$2,"À investiguer",""))</f>
        <v/>
      </c>
    </row>
    <row r="194">
      <c r="C194" s="5" t="n"/>
      <c r="D194" s="5" t="n"/>
      <c r="E194">
        <f>IF($A194="","",IF(LEFT($A194,2)="40","Achats/Fournisseurs",IF(LEFT($A194,2)="41","Ventes/Clients",IF(OR(LEFT($A194,2)="42",LEFT($A194,2)="43"),"Personnel",IF(LEFT($A194,2)="44","État/Fiscal",IF(LEFT($A194,1)="1","Capitaux",IF(LEFT($A194,1)="2","Immobilisations",IF(LEFT($A194,1)="3","Stocks",IF(LEFT($A194,1)="5","Trésorerie",IF(LEFT($A194,1)="6","Charges",IF(LEFT($A194,1)="7","Produits",IF(LEFT($A194,1)="8","HAO","Autres")))))))))))))</f>
        <v/>
      </c>
      <c r="F194" s="5">
        <f>IF($A194="","",$C194-$D194)</f>
        <v/>
      </c>
      <c r="G194" s="3">
        <f>IF(OR($A194="",$D194=0),"",($C194-$D194)/ABS($D194))</f>
        <v/>
      </c>
      <c r="H194">
        <f>IF($G194="","",IF(ABS($G194)&gt;=$E$2,"À investiguer",""))</f>
        <v/>
      </c>
    </row>
    <row r="195">
      <c r="C195" s="5" t="n"/>
      <c r="D195" s="5" t="n"/>
      <c r="E195">
        <f>IF($A195="","",IF(LEFT($A195,2)="40","Achats/Fournisseurs",IF(LEFT($A195,2)="41","Ventes/Clients",IF(OR(LEFT($A195,2)="42",LEFT($A195,2)="43"),"Personnel",IF(LEFT($A195,2)="44","État/Fiscal",IF(LEFT($A195,1)="1","Capitaux",IF(LEFT($A195,1)="2","Immobilisations",IF(LEFT($A195,1)="3","Stocks",IF(LEFT($A195,1)="5","Trésorerie",IF(LEFT($A195,1)="6","Charges",IF(LEFT($A195,1)="7","Produits",IF(LEFT($A195,1)="8","HAO","Autres")))))))))))))</f>
        <v/>
      </c>
      <c r="F195" s="5">
        <f>IF($A195="","",$C195-$D195)</f>
        <v/>
      </c>
      <c r="G195" s="3">
        <f>IF(OR($A195="",$D195=0),"",($C195-$D195)/ABS($D195))</f>
        <v/>
      </c>
      <c r="H195">
        <f>IF($G195="","",IF(ABS($G195)&gt;=$E$2,"À investiguer",""))</f>
        <v/>
      </c>
    </row>
    <row r="196">
      <c r="C196" s="5" t="n"/>
      <c r="D196" s="5" t="n"/>
      <c r="E196">
        <f>IF($A196="","",IF(LEFT($A196,2)="40","Achats/Fournisseurs",IF(LEFT($A196,2)="41","Ventes/Clients",IF(OR(LEFT($A196,2)="42",LEFT($A196,2)="43"),"Personnel",IF(LEFT($A196,2)="44","État/Fiscal",IF(LEFT($A196,1)="1","Capitaux",IF(LEFT($A196,1)="2","Immobilisations",IF(LEFT($A196,1)="3","Stocks",IF(LEFT($A196,1)="5","Trésorerie",IF(LEFT($A196,1)="6","Charges",IF(LEFT($A196,1)="7","Produits",IF(LEFT($A196,1)="8","HAO","Autres")))))))))))))</f>
        <v/>
      </c>
      <c r="F196" s="5">
        <f>IF($A196="","",$C196-$D196)</f>
        <v/>
      </c>
      <c r="G196" s="3">
        <f>IF(OR($A196="",$D196=0),"",($C196-$D196)/ABS($D196))</f>
        <v/>
      </c>
      <c r="H196">
        <f>IF($G196="","",IF(ABS($G196)&gt;=$E$2,"À investiguer",""))</f>
        <v/>
      </c>
    </row>
    <row r="197">
      <c r="C197" s="5" t="n"/>
      <c r="D197" s="5" t="n"/>
      <c r="E197">
        <f>IF($A197="","",IF(LEFT($A197,2)="40","Achats/Fournisseurs",IF(LEFT($A197,2)="41","Ventes/Clients",IF(OR(LEFT($A197,2)="42",LEFT($A197,2)="43"),"Personnel",IF(LEFT($A197,2)="44","État/Fiscal",IF(LEFT($A197,1)="1","Capitaux",IF(LEFT($A197,1)="2","Immobilisations",IF(LEFT($A197,1)="3","Stocks",IF(LEFT($A197,1)="5","Trésorerie",IF(LEFT($A197,1)="6","Charges",IF(LEFT($A197,1)="7","Produits",IF(LEFT($A197,1)="8","HAO","Autres")))))))))))))</f>
        <v/>
      </c>
      <c r="F197" s="5">
        <f>IF($A197="","",$C197-$D197)</f>
        <v/>
      </c>
      <c r="G197" s="3">
        <f>IF(OR($A197="",$D197=0),"",($C197-$D197)/ABS($D197))</f>
        <v/>
      </c>
      <c r="H197">
        <f>IF($G197="","",IF(ABS($G197)&gt;=$E$2,"À investiguer",""))</f>
        <v/>
      </c>
    </row>
    <row r="198">
      <c r="C198" s="5" t="n"/>
      <c r="D198" s="5" t="n"/>
      <c r="E198">
        <f>IF($A198="","",IF(LEFT($A198,2)="40","Achats/Fournisseurs",IF(LEFT($A198,2)="41","Ventes/Clients",IF(OR(LEFT($A198,2)="42",LEFT($A198,2)="43"),"Personnel",IF(LEFT($A198,2)="44","État/Fiscal",IF(LEFT($A198,1)="1","Capitaux",IF(LEFT($A198,1)="2","Immobilisations",IF(LEFT($A198,1)="3","Stocks",IF(LEFT($A198,1)="5","Trésorerie",IF(LEFT($A198,1)="6","Charges",IF(LEFT($A198,1)="7","Produits",IF(LEFT($A198,1)="8","HAO","Autres")))))))))))))</f>
        <v/>
      </c>
      <c r="F198" s="5">
        <f>IF($A198="","",$C198-$D198)</f>
        <v/>
      </c>
      <c r="G198" s="3">
        <f>IF(OR($A198="",$D198=0),"",($C198-$D198)/ABS($D198))</f>
        <v/>
      </c>
      <c r="H198">
        <f>IF($G198="","",IF(ABS($G198)&gt;=$E$2,"À investiguer",""))</f>
        <v/>
      </c>
    </row>
    <row r="199">
      <c r="C199" s="5" t="n"/>
      <c r="D199" s="5" t="n"/>
      <c r="E199">
        <f>IF($A199="","",IF(LEFT($A199,2)="40","Achats/Fournisseurs",IF(LEFT($A199,2)="41","Ventes/Clients",IF(OR(LEFT($A199,2)="42",LEFT($A199,2)="43"),"Personnel",IF(LEFT($A199,2)="44","État/Fiscal",IF(LEFT($A199,1)="1","Capitaux",IF(LEFT($A199,1)="2","Immobilisations",IF(LEFT($A199,1)="3","Stocks",IF(LEFT($A199,1)="5","Trésorerie",IF(LEFT($A199,1)="6","Charges",IF(LEFT($A199,1)="7","Produits",IF(LEFT($A199,1)="8","HAO","Autres")))))))))))))</f>
        <v/>
      </c>
      <c r="F199" s="5">
        <f>IF($A199="","",$C199-$D199)</f>
        <v/>
      </c>
      <c r="G199" s="3">
        <f>IF(OR($A199="",$D199=0),"",($C199-$D199)/ABS($D199))</f>
        <v/>
      </c>
      <c r="H199">
        <f>IF($G199="","",IF(ABS($G199)&gt;=$E$2,"À investiguer",""))</f>
        <v/>
      </c>
    </row>
    <row r="200">
      <c r="C200" s="5" t="n"/>
      <c r="D200" s="5" t="n"/>
      <c r="E200">
        <f>IF($A200="","",IF(LEFT($A200,2)="40","Achats/Fournisseurs",IF(LEFT($A200,2)="41","Ventes/Clients",IF(OR(LEFT($A200,2)="42",LEFT($A200,2)="43"),"Personnel",IF(LEFT($A200,2)="44","État/Fiscal",IF(LEFT($A200,1)="1","Capitaux",IF(LEFT($A200,1)="2","Immobilisations",IF(LEFT($A200,1)="3","Stocks",IF(LEFT($A200,1)="5","Trésorerie",IF(LEFT($A200,1)="6","Charges",IF(LEFT($A200,1)="7","Produits",IF(LEFT($A200,1)="8","HAO","Autres")))))))))))))</f>
        <v/>
      </c>
      <c r="F200" s="5">
        <f>IF($A200="","",$C200-$D200)</f>
        <v/>
      </c>
      <c r="G200" s="3">
        <f>IF(OR($A200="",$D200=0),"",($C200-$D200)/ABS($D200))</f>
        <v/>
      </c>
      <c r="H200">
        <f>IF($G200="","",IF(ABS($G200)&gt;=$E$2,"À investiguer",""))</f>
        <v/>
      </c>
    </row>
    <row r="201">
      <c r="C201" s="5" t="n"/>
      <c r="D201" s="5" t="n"/>
      <c r="E201">
        <f>IF($A201="","",IF(LEFT($A201,2)="40","Achats/Fournisseurs",IF(LEFT($A201,2)="41","Ventes/Clients",IF(OR(LEFT($A201,2)="42",LEFT($A201,2)="43"),"Personnel",IF(LEFT($A201,2)="44","État/Fiscal",IF(LEFT($A201,1)="1","Capitaux",IF(LEFT($A201,1)="2","Immobilisations",IF(LEFT($A201,1)="3","Stocks",IF(LEFT($A201,1)="5","Trésorerie",IF(LEFT($A201,1)="6","Charges",IF(LEFT($A201,1)="7","Produits",IF(LEFT($A201,1)="8","HAO","Autres")))))))))))))</f>
        <v/>
      </c>
      <c r="F201" s="5">
        <f>IF($A201="","",$C201-$D201)</f>
        <v/>
      </c>
      <c r="G201" s="3">
        <f>IF(OR($A201="",$D201=0),"",($C201-$D201)/ABS($D201))</f>
        <v/>
      </c>
      <c r="H201">
        <f>IF($G201="","",IF(ABS($G201)&gt;=$E$2,"À investiguer",""))</f>
        <v/>
      </c>
    </row>
    <row r="202">
      <c r="C202" s="5" t="n"/>
      <c r="D202" s="5" t="n"/>
      <c r="E202">
        <f>IF($A202="","",IF(LEFT($A202,2)="40","Achats/Fournisseurs",IF(LEFT($A202,2)="41","Ventes/Clients",IF(OR(LEFT($A202,2)="42",LEFT($A202,2)="43"),"Personnel",IF(LEFT($A202,2)="44","État/Fiscal",IF(LEFT($A202,1)="1","Capitaux",IF(LEFT($A202,1)="2","Immobilisations",IF(LEFT($A202,1)="3","Stocks",IF(LEFT($A202,1)="5","Trésorerie",IF(LEFT($A202,1)="6","Charges",IF(LEFT($A202,1)="7","Produits",IF(LEFT($A202,1)="8","HAO","Autres")))))))))))))</f>
        <v/>
      </c>
      <c r="F202" s="5">
        <f>IF($A202="","",$C202-$D202)</f>
        <v/>
      </c>
      <c r="G202" s="3">
        <f>IF(OR($A202="",$D202=0),"",($C202-$D202)/ABS($D202))</f>
        <v/>
      </c>
      <c r="H202">
        <f>IF($G202="","",IF(ABS($G202)&gt;=$E$2,"À investiguer",""))</f>
        <v/>
      </c>
    </row>
    <row r="203">
      <c r="C203" s="5" t="n"/>
      <c r="D203" s="5" t="n"/>
      <c r="E203">
        <f>IF($A203="","",IF(LEFT($A203,2)="40","Achats/Fournisseurs",IF(LEFT($A203,2)="41","Ventes/Clients",IF(OR(LEFT($A203,2)="42",LEFT($A203,2)="43"),"Personnel",IF(LEFT($A203,2)="44","État/Fiscal",IF(LEFT($A203,1)="1","Capitaux",IF(LEFT($A203,1)="2","Immobilisations",IF(LEFT($A203,1)="3","Stocks",IF(LEFT($A203,1)="5","Trésorerie",IF(LEFT($A203,1)="6","Charges",IF(LEFT($A203,1)="7","Produits",IF(LEFT($A203,1)="8","HAO","Autres")))))))))))))</f>
        <v/>
      </c>
      <c r="F203" s="5">
        <f>IF($A203="","",$C203-$D203)</f>
        <v/>
      </c>
      <c r="G203" s="3">
        <f>IF(OR($A203="",$D203=0),"",($C203-$D203)/ABS($D203))</f>
        <v/>
      </c>
      <c r="H203">
        <f>IF($G203="","",IF(ABS($G203)&gt;=$E$2,"À investiguer",""))</f>
        <v/>
      </c>
    </row>
    <row r="204">
      <c r="C204" s="5" t="n"/>
      <c r="D204" s="5" t="n"/>
      <c r="E204">
        <f>IF($A204="","",IF(LEFT($A204,2)="40","Achats/Fournisseurs",IF(LEFT($A204,2)="41","Ventes/Clients",IF(OR(LEFT($A204,2)="42",LEFT($A204,2)="43"),"Personnel",IF(LEFT($A204,2)="44","État/Fiscal",IF(LEFT($A204,1)="1","Capitaux",IF(LEFT($A204,1)="2","Immobilisations",IF(LEFT($A204,1)="3","Stocks",IF(LEFT($A204,1)="5","Trésorerie",IF(LEFT($A204,1)="6","Charges",IF(LEFT($A204,1)="7","Produits",IF(LEFT($A204,1)="8","HAO","Autres")))))))))))))</f>
        <v/>
      </c>
      <c r="F204" s="5">
        <f>IF($A204="","",$C204-$D204)</f>
        <v/>
      </c>
      <c r="G204" s="3">
        <f>IF(OR($A204="",$D204=0),"",($C204-$D204)/ABS($D204))</f>
        <v/>
      </c>
      <c r="H204">
        <f>IF($G204="","",IF(ABS($G204)&gt;=$E$2,"À investiguer",""))</f>
        <v/>
      </c>
    </row>
    <row r="205">
      <c r="C205" s="5" t="n"/>
      <c r="D205" s="5" t="n"/>
      <c r="E205">
        <f>IF($A205="","",IF(LEFT($A205,2)="40","Achats/Fournisseurs",IF(LEFT($A205,2)="41","Ventes/Clients",IF(OR(LEFT($A205,2)="42",LEFT($A205,2)="43"),"Personnel",IF(LEFT($A205,2)="44","État/Fiscal",IF(LEFT($A205,1)="1","Capitaux",IF(LEFT($A205,1)="2","Immobilisations",IF(LEFT($A205,1)="3","Stocks",IF(LEFT($A205,1)="5","Trésorerie",IF(LEFT($A205,1)="6","Charges",IF(LEFT($A205,1)="7","Produits",IF(LEFT($A205,1)="8","HAO","Autres")))))))))))))</f>
        <v/>
      </c>
      <c r="F205" s="5">
        <f>IF($A205="","",$C205-$D205)</f>
        <v/>
      </c>
      <c r="G205" s="3">
        <f>IF(OR($A205="",$D205=0),"",($C205-$D205)/ABS($D205))</f>
        <v/>
      </c>
      <c r="H205">
        <f>IF($G205="","",IF(ABS($G205)&gt;=$E$2,"À investiguer",""))</f>
        <v/>
      </c>
    </row>
    <row r="206">
      <c r="C206" s="5" t="n"/>
      <c r="D206" s="5" t="n"/>
      <c r="E206">
        <f>IF($A206="","",IF(LEFT($A206,2)="40","Achats/Fournisseurs",IF(LEFT($A206,2)="41","Ventes/Clients",IF(OR(LEFT($A206,2)="42",LEFT($A206,2)="43"),"Personnel",IF(LEFT($A206,2)="44","État/Fiscal",IF(LEFT($A206,1)="1","Capitaux",IF(LEFT($A206,1)="2","Immobilisations",IF(LEFT($A206,1)="3","Stocks",IF(LEFT($A206,1)="5","Trésorerie",IF(LEFT($A206,1)="6","Charges",IF(LEFT($A206,1)="7","Produits",IF(LEFT($A206,1)="8","HAO","Autres")))))))))))))</f>
        <v/>
      </c>
      <c r="F206" s="5">
        <f>IF($A206="","",$C206-$D206)</f>
        <v/>
      </c>
      <c r="G206" s="3">
        <f>IF(OR($A206="",$D206=0),"",($C206-$D206)/ABS($D206))</f>
        <v/>
      </c>
      <c r="H206">
        <f>IF($G206="","",IF(ABS($G206)&gt;=$E$2,"À investiguer",""))</f>
        <v/>
      </c>
    </row>
    <row r="207">
      <c r="C207" s="5" t="n"/>
      <c r="D207" s="5" t="n"/>
      <c r="E207">
        <f>IF($A207="","",IF(LEFT($A207,2)="40","Achats/Fournisseurs",IF(LEFT($A207,2)="41","Ventes/Clients",IF(OR(LEFT($A207,2)="42",LEFT($A207,2)="43"),"Personnel",IF(LEFT($A207,2)="44","État/Fiscal",IF(LEFT($A207,1)="1","Capitaux",IF(LEFT($A207,1)="2","Immobilisations",IF(LEFT($A207,1)="3","Stocks",IF(LEFT($A207,1)="5","Trésorerie",IF(LEFT($A207,1)="6","Charges",IF(LEFT($A207,1)="7","Produits",IF(LEFT($A207,1)="8","HAO","Autres")))))))))))))</f>
        <v/>
      </c>
      <c r="F207" s="5">
        <f>IF($A207="","",$C207-$D207)</f>
        <v/>
      </c>
      <c r="G207" s="3">
        <f>IF(OR($A207="",$D207=0),"",($C207-$D207)/ABS($D207))</f>
        <v/>
      </c>
      <c r="H207">
        <f>IF($G207="","",IF(ABS($G207)&gt;=$E$2,"À investiguer",""))</f>
        <v/>
      </c>
    </row>
    <row r="208">
      <c r="C208" s="5" t="n"/>
      <c r="D208" s="5" t="n"/>
      <c r="E208">
        <f>IF($A208="","",IF(LEFT($A208,2)="40","Achats/Fournisseurs",IF(LEFT($A208,2)="41","Ventes/Clients",IF(OR(LEFT($A208,2)="42",LEFT($A208,2)="43"),"Personnel",IF(LEFT($A208,2)="44","État/Fiscal",IF(LEFT($A208,1)="1","Capitaux",IF(LEFT($A208,1)="2","Immobilisations",IF(LEFT($A208,1)="3","Stocks",IF(LEFT($A208,1)="5","Trésorerie",IF(LEFT($A208,1)="6","Charges",IF(LEFT($A208,1)="7","Produits",IF(LEFT($A208,1)="8","HAO","Autres")))))))))))))</f>
        <v/>
      </c>
      <c r="F208" s="5">
        <f>IF($A208="","",$C208-$D208)</f>
        <v/>
      </c>
      <c r="G208" s="3">
        <f>IF(OR($A208="",$D208=0),"",($C208-$D208)/ABS($D208))</f>
        <v/>
      </c>
      <c r="H208">
        <f>IF($G208="","",IF(ABS($G208)&gt;=$E$2,"À investiguer",""))</f>
        <v/>
      </c>
    </row>
    <row r="209">
      <c r="C209" s="5" t="n"/>
      <c r="D209" s="5" t="n"/>
      <c r="E209">
        <f>IF($A209="","",IF(LEFT($A209,2)="40","Achats/Fournisseurs",IF(LEFT($A209,2)="41","Ventes/Clients",IF(OR(LEFT($A209,2)="42",LEFT($A209,2)="43"),"Personnel",IF(LEFT($A209,2)="44","État/Fiscal",IF(LEFT($A209,1)="1","Capitaux",IF(LEFT($A209,1)="2","Immobilisations",IF(LEFT($A209,1)="3","Stocks",IF(LEFT($A209,1)="5","Trésorerie",IF(LEFT($A209,1)="6","Charges",IF(LEFT($A209,1)="7","Produits",IF(LEFT($A209,1)="8","HAO","Autres")))))))))))))</f>
        <v/>
      </c>
      <c r="F209" s="5">
        <f>IF($A209="","",$C209-$D209)</f>
        <v/>
      </c>
      <c r="G209" s="3">
        <f>IF(OR($A209="",$D209=0),"",($C209-$D209)/ABS($D209))</f>
        <v/>
      </c>
      <c r="H209">
        <f>IF($G209="","",IF(ABS($G209)&gt;=$E$2,"À investiguer",""))</f>
        <v/>
      </c>
    </row>
    <row r="210">
      <c r="C210" s="5" t="n"/>
      <c r="D210" s="5" t="n"/>
      <c r="E210">
        <f>IF($A210="","",IF(LEFT($A210,2)="40","Achats/Fournisseurs",IF(LEFT($A210,2)="41","Ventes/Clients",IF(OR(LEFT($A210,2)="42",LEFT($A210,2)="43"),"Personnel",IF(LEFT($A210,2)="44","État/Fiscal",IF(LEFT($A210,1)="1","Capitaux",IF(LEFT($A210,1)="2","Immobilisations",IF(LEFT($A210,1)="3","Stocks",IF(LEFT($A210,1)="5","Trésorerie",IF(LEFT($A210,1)="6","Charges",IF(LEFT($A210,1)="7","Produits",IF(LEFT($A210,1)="8","HAO","Autres")))))))))))))</f>
        <v/>
      </c>
      <c r="F210" s="5">
        <f>IF($A210="","",$C210-$D210)</f>
        <v/>
      </c>
      <c r="G210" s="3">
        <f>IF(OR($A210="",$D210=0),"",($C210-$D210)/ABS($D210))</f>
        <v/>
      </c>
      <c r="H210">
        <f>IF($G210="","",IF(ABS($G210)&gt;=$E$2,"À investiguer",""))</f>
        <v/>
      </c>
    </row>
    <row r="211">
      <c r="C211" s="5" t="n"/>
      <c r="D211" s="5" t="n"/>
      <c r="E211">
        <f>IF($A211="","",IF(LEFT($A211,2)="40","Achats/Fournisseurs",IF(LEFT($A211,2)="41","Ventes/Clients",IF(OR(LEFT($A211,2)="42",LEFT($A211,2)="43"),"Personnel",IF(LEFT($A211,2)="44","État/Fiscal",IF(LEFT($A211,1)="1","Capitaux",IF(LEFT($A211,1)="2","Immobilisations",IF(LEFT($A211,1)="3","Stocks",IF(LEFT($A211,1)="5","Trésorerie",IF(LEFT($A211,1)="6","Charges",IF(LEFT($A211,1)="7","Produits",IF(LEFT($A211,1)="8","HAO","Autres")))))))))))))</f>
        <v/>
      </c>
      <c r="F211" s="5">
        <f>IF($A211="","",$C211-$D211)</f>
        <v/>
      </c>
      <c r="G211" s="3">
        <f>IF(OR($A211="",$D211=0),"",($C211-$D211)/ABS($D211))</f>
        <v/>
      </c>
      <c r="H211">
        <f>IF($G211="","",IF(ABS($G211)&gt;=$E$2,"À investiguer",""))</f>
        <v/>
      </c>
    </row>
    <row r="212">
      <c r="C212" s="5" t="n"/>
      <c r="D212" s="5" t="n"/>
      <c r="E212">
        <f>IF($A212="","",IF(LEFT($A212,2)="40","Achats/Fournisseurs",IF(LEFT($A212,2)="41","Ventes/Clients",IF(OR(LEFT($A212,2)="42",LEFT($A212,2)="43"),"Personnel",IF(LEFT($A212,2)="44","État/Fiscal",IF(LEFT($A212,1)="1","Capitaux",IF(LEFT($A212,1)="2","Immobilisations",IF(LEFT($A212,1)="3","Stocks",IF(LEFT($A212,1)="5","Trésorerie",IF(LEFT($A212,1)="6","Charges",IF(LEFT($A212,1)="7","Produits",IF(LEFT($A212,1)="8","HAO","Autres")))))))))))))</f>
        <v/>
      </c>
      <c r="F212" s="5">
        <f>IF($A212="","",$C212-$D212)</f>
        <v/>
      </c>
      <c r="G212" s="3">
        <f>IF(OR($A212="",$D212=0),"",($C212-$D212)/ABS($D212))</f>
        <v/>
      </c>
      <c r="H212">
        <f>IF($G212="","",IF(ABS($G212)&gt;=$E$2,"À investiguer",""))</f>
        <v/>
      </c>
    </row>
    <row r="213">
      <c r="C213" s="5" t="n"/>
      <c r="D213" s="5" t="n"/>
      <c r="E213">
        <f>IF($A213="","",IF(LEFT($A213,2)="40","Achats/Fournisseurs",IF(LEFT($A213,2)="41","Ventes/Clients",IF(OR(LEFT($A213,2)="42",LEFT($A213,2)="43"),"Personnel",IF(LEFT($A213,2)="44","État/Fiscal",IF(LEFT($A213,1)="1","Capitaux",IF(LEFT($A213,1)="2","Immobilisations",IF(LEFT($A213,1)="3","Stocks",IF(LEFT($A213,1)="5","Trésorerie",IF(LEFT($A213,1)="6","Charges",IF(LEFT($A213,1)="7","Produits",IF(LEFT($A213,1)="8","HAO","Autres")))))))))))))</f>
        <v/>
      </c>
      <c r="F213" s="5">
        <f>IF($A213="","",$C213-$D213)</f>
        <v/>
      </c>
      <c r="G213" s="3">
        <f>IF(OR($A213="",$D213=0),"",($C213-$D213)/ABS($D213))</f>
        <v/>
      </c>
      <c r="H213">
        <f>IF($G213="","",IF(ABS($G213)&gt;=$E$2,"À investiguer",""))</f>
        <v/>
      </c>
    </row>
    <row r="214">
      <c r="C214" s="5" t="n"/>
      <c r="D214" s="5" t="n"/>
      <c r="E214">
        <f>IF($A214="","",IF(LEFT($A214,2)="40","Achats/Fournisseurs",IF(LEFT($A214,2)="41","Ventes/Clients",IF(OR(LEFT($A214,2)="42",LEFT($A214,2)="43"),"Personnel",IF(LEFT($A214,2)="44","État/Fiscal",IF(LEFT($A214,1)="1","Capitaux",IF(LEFT($A214,1)="2","Immobilisations",IF(LEFT($A214,1)="3","Stocks",IF(LEFT($A214,1)="5","Trésorerie",IF(LEFT($A214,1)="6","Charges",IF(LEFT($A214,1)="7","Produits",IF(LEFT($A214,1)="8","HAO","Autres")))))))))))))</f>
        <v/>
      </c>
      <c r="F214" s="5">
        <f>IF($A214="","",$C214-$D214)</f>
        <v/>
      </c>
      <c r="G214" s="3">
        <f>IF(OR($A214="",$D214=0),"",($C214-$D214)/ABS($D214))</f>
        <v/>
      </c>
      <c r="H214">
        <f>IF($G214="","",IF(ABS($G214)&gt;=$E$2,"À investiguer",""))</f>
        <v/>
      </c>
    </row>
    <row r="215">
      <c r="C215" s="5" t="n"/>
      <c r="D215" s="5" t="n"/>
      <c r="E215">
        <f>IF($A215="","",IF(LEFT($A215,2)="40","Achats/Fournisseurs",IF(LEFT($A215,2)="41","Ventes/Clients",IF(OR(LEFT($A215,2)="42",LEFT($A215,2)="43"),"Personnel",IF(LEFT($A215,2)="44","État/Fiscal",IF(LEFT($A215,1)="1","Capitaux",IF(LEFT($A215,1)="2","Immobilisations",IF(LEFT($A215,1)="3","Stocks",IF(LEFT($A215,1)="5","Trésorerie",IF(LEFT($A215,1)="6","Charges",IF(LEFT($A215,1)="7","Produits",IF(LEFT($A215,1)="8","HAO","Autres")))))))))))))</f>
        <v/>
      </c>
      <c r="F215" s="5">
        <f>IF($A215="","",$C215-$D215)</f>
        <v/>
      </c>
      <c r="G215" s="3">
        <f>IF(OR($A215="",$D215=0),"",($C215-$D215)/ABS($D215))</f>
        <v/>
      </c>
      <c r="H215">
        <f>IF($G215="","",IF(ABS($G215)&gt;=$E$2,"À investiguer",""))</f>
        <v/>
      </c>
    </row>
    <row r="216">
      <c r="C216" s="5" t="n"/>
      <c r="D216" s="5" t="n"/>
      <c r="E216">
        <f>IF($A216="","",IF(LEFT($A216,2)="40","Achats/Fournisseurs",IF(LEFT($A216,2)="41","Ventes/Clients",IF(OR(LEFT($A216,2)="42",LEFT($A216,2)="43"),"Personnel",IF(LEFT($A216,2)="44","État/Fiscal",IF(LEFT($A216,1)="1","Capitaux",IF(LEFT($A216,1)="2","Immobilisations",IF(LEFT($A216,1)="3","Stocks",IF(LEFT($A216,1)="5","Trésorerie",IF(LEFT($A216,1)="6","Charges",IF(LEFT($A216,1)="7","Produits",IF(LEFT($A216,1)="8","HAO","Autres")))))))))))))</f>
        <v/>
      </c>
      <c r="F216" s="5">
        <f>IF($A216="","",$C216-$D216)</f>
        <v/>
      </c>
      <c r="G216" s="3">
        <f>IF(OR($A216="",$D216=0),"",($C216-$D216)/ABS($D216))</f>
        <v/>
      </c>
      <c r="H216">
        <f>IF($G216="","",IF(ABS($G216)&gt;=$E$2,"À investiguer",""))</f>
        <v/>
      </c>
    </row>
    <row r="217">
      <c r="C217" s="5" t="n"/>
      <c r="D217" s="5" t="n"/>
      <c r="E217">
        <f>IF($A217="","",IF(LEFT($A217,2)="40","Achats/Fournisseurs",IF(LEFT($A217,2)="41","Ventes/Clients",IF(OR(LEFT($A217,2)="42",LEFT($A217,2)="43"),"Personnel",IF(LEFT($A217,2)="44","État/Fiscal",IF(LEFT($A217,1)="1","Capitaux",IF(LEFT($A217,1)="2","Immobilisations",IF(LEFT($A217,1)="3","Stocks",IF(LEFT($A217,1)="5","Trésorerie",IF(LEFT($A217,1)="6","Charges",IF(LEFT($A217,1)="7","Produits",IF(LEFT($A217,1)="8","HAO","Autres")))))))))))))</f>
        <v/>
      </c>
      <c r="F217" s="5">
        <f>IF($A217="","",$C217-$D217)</f>
        <v/>
      </c>
      <c r="G217" s="3">
        <f>IF(OR($A217="",$D217=0),"",($C217-$D217)/ABS($D217))</f>
        <v/>
      </c>
      <c r="H217">
        <f>IF($G217="","",IF(ABS($G217)&gt;=$E$2,"À investiguer",""))</f>
        <v/>
      </c>
    </row>
    <row r="218">
      <c r="C218" s="5" t="n"/>
      <c r="D218" s="5" t="n"/>
      <c r="E218">
        <f>IF($A218="","",IF(LEFT($A218,2)="40","Achats/Fournisseurs",IF(LEFT($A218,2)="41","Ventes/Clients",IF(OR(LEFT($A218,2)="42",LEFT($A218,2)="43"),"Personnel",IF(LEFT($A218,2)="44","État/Fiscal",IF(LEFT($A218,1)="1","Capitaux",IF(LEFT($A218,1)="2","Immobilisations",IF(LEFT($A218,1)="3","Stocks",IF(LEFT($A218,1)="5","Trésorerie",IF(LEFT($A218,1)="6","Charges",IF(LEFT($A218,1)="7","Produits",IF(LEFT($A218,1)="8","HAO","Autres")))))))))))))</f>
        <v/>
      </c>
      <c r="F218" s="5">
        <f>IF($A218="","",$C218-$D218)</f>
        <v/>
      </c>
      <c r="G218" s="3">
        <f>IF(OR($A218="",$D218=0),"",($C218-$D218)/ABS($D218))</f>
        <v/>
      </c>
      <c r="H218">
        <f>IF($G218="","",IF(ABS($G218)&gt;=$E$2,"À investiguer",""))</f>
        <v/>
      </c>
    </row>
    <row r="219">
      <c r="C219" s="5" t="n"/>
      <c r="D219" s="5" t="n"/>
      <c r="E219">
        <f>IF($A219="","",IF(LEFT($A219,2)="40","Achats/Fournisseurs",IF(LEFT($A219,2)="41","Ventes/Clients",IF(OR(LEFT($A219,2)="42",LEFT($A219,2)="43"),"Personnel",IF(LEFT($A219,2)="44","État/Fiscal",IF(LEFT($A219,1)="1","Capitaux",IF(LEFT($A219,1)="2","Immobilisations",IF(LEFT($A219,1)="3","Stocks",IF(LEFT($A219,1)="5","Trésorerie",IF(LEFT($A219,1)="6","Charges",IF(LEFT($A219,1)="7","Produits",IF(LEFT($A219,1)="8","HAO","Autres")))))))))))))</f>
        <v/>
      </c>
      <c r="F219" s="5">
        <f>IF($A219="","",$C219-$D219)</f>
        <v/>
      </c>
      <c r="G219" s="3">
        <f>IF(OR($A219="",$D219=0),"",($C219-$D219)/ABS($D219))</f>
        <v/>
      </c>
      <c r="H219">
        <f>IF($G219="","",IF(ABS($G219)&gt;=$E$2,"À investiguer",""))</f>
        <v/>
      </c>
    </row>
    <row r="220">
      <c r="C220" s="5" t="n"/>
      <c r="D220" s="5" t="n"/>
      <c r="E220">
        <f>IF($A220="","",IF(LEFT($A220,2)="40","Achats/Fournisseurs",IF(LEFT($A220,2)="41","Ventes/Clients",IF(OR(LEFT($A220,2)="42",LEFT($A220,2)="43"),"Personnel",IF(LEFT($A220,2)="44","État/Fiscal",IF(LEFT($A220,1)="1","Capitaux",IF(LEFT($A220,1)="2","Immobilisations",IF(LEFT($A220,1)="3","Stocks",IF(LEFT($A220,1)="5","Trésorerie",IF(LEFT($A220,1)="6","Charges",IF(LEFT($A220,1)="7","Produits",IF(LEFT($A220,1)="8","HAO","Autres")))))))))))))</f>
        <v/>
      </c>
      <c r="F220" s="5">
        <f>IF($A220="","",$C220-$D220)</f>
        <v/>
      </c>
      <c r="G220" s="3">
        <f>IF(OR($A220="",$D220=0),"",($C220-$D220)/ABS($D220))</f>
        <v/>
      </c>
      <c r="H220">
        <f>IF($G220="","",IF(ABS($G220)&gt;=$E$2,"À investiguer",""))</f>
        <v/>
      </c>
    </row>
    <row r="221">
      <c r="C221" s="5" t="n"/>
      <c r="D221" s="5" t="n"/>
      <c r="E221">
        <f>IF($A221="","",IF(LEFT($A221,2)="40","Achats/Fournisseurs",IF(LEFT($A221,2)="41","Ventes/Clients",IF(OR(LEFT($A221,2)="42",LEFT($A221,2)="43"),"Personnel",IF(LEFT($A221,2)="44","État/Fiscal",IF(LEFT($A221,1)="1","Capitaux",IF(LEFT($A221,1)="2","Immobilisations",IF(LEFT($A221,1)="3","Stocks",IF(LEFT($A221,1)="5","Trésorerie",IF(LEFT($A221,1)="6","Charges",IF(LEFT($A221,1)="7","Produits",IF(LEFT($A221,1)="8","HAO","Autres")))))))))))))</f>
        <v/>
      </c>
      <c r="F221" s="5">
        <f>IF($A221="","",$C221-$D221)</f>
        <v/>
      </c>
      <c r="G221" s="3">
        <f>IF(OR($A221="",$D221=0),"",($C221-$D221)/ABS($D221))</f>
        <v/>
      </c>
      <c r="H221">
        <f>IF($G221="","",IF(ABS($G221)&gt;=$E$2,"À investiguer",""))</f>
        <v/>
      </c>
    </row>
    <row r="222">
      <c r="C222" s="5" t="n"/>
      <c r="D222" s="5" t="n"/>
      <c r="E222">
        <f>IF($A222="","",IF(LEFT($A222,2)="40","Achats/Fournisseurs",IF(LEFT($A222,2)="41","Ventes/Clients",IF(OR(LEFT($A222,2)="42",LEFT($A222,2)="43"),"Personnel",IF(LEFT($A222,2)="44","État/Fiscal",IF(LEFT($A222,1)="1","Capitaux",IF(LEFT($A222,1)="2","Immobilisations",IF(LEFT($A222,1)="3","Stocks",IF(LEFT($A222,1)="5","Trésorerie",IF(LEFT($A222,1)="6","Charges",IF(LEFT($A222,1)="7","Produits",IF(LEFT($A222,1)="8","HAO","Autres")))))))))))))</f>
        <v/>
      </c>
      <c r="F222" s="5">
        <f>IF($A222="","",$C222-$D222)</f>
        <v/>
      </c>
      <c r="G222" s="3">
        <f>IF(OR($A222="",$D222=0),"",($C222-$D222)/ABS($D222))</f>
        <v/>
      </c>
      <c r="H222">
        <f>IF($G222="","",IF(ABS($G222)&gt;=$E$2,"À investiguer",""))</f>
        <v/>
      </c>
    </row>
    <row r="223">
      <c r="C223" s="5" t="n"/>
      <c r="D223" s="5" t="n"/>
      <c r="E223">
        <f>IF($A223="","",IF(LEFT($A223,2)="40","Achats/Fournisseurs",IF(LEFT($A223,2)="41","Ventes/Clients",IF(OR(LEFT($A223,2)="42",LEFT($A223,2)="43"),"Personnel",IF(LEFT($A223,2)="44","État/Fiscal",IF(LEFT($A223,1)="1","Capitaux",IF(LEFT($A223,1)="2","Immobilisations",IF(LEFT($A223,1)="3","Stocks",IF(LEFT($A223,1)="5","Trésorerie",IF(LEFT($A223,1)="6","Charges",IF(LEFT($A223,1)="7","Produits",IF(LEFT($A223,1)="8","HAO","Autres")))))))))))))</f>
        <v/>
      </c>
      <c r="F223" s="5">
        <f>IF($A223="","",$C223-$D223)</f>
        <v/>
      </c>
      <c r="G223" s="3">
        <f>IF(OR($A223="",$D223=0),"",($C223-$D223)/ABS($D223))</f>
        <v/>
      </c>
      <c r="H223">
        <f>IF($G223="","",IF(ABS($G223)&gt;=$E$2,"À investiguer",""))</f>
        <v/>
      </c>
    </row>
    <row r="224">
      <c r="C224" s="5" t="n"/>
      <c r="D224" s="5" t="n"/>
      <c r="E224">
        <f>IF($A224="","",IF(LEFT($A224,2)="40","Achats/Fournisseurs",IF(LEFT($A224,2)="41","Ventes/Clients",IF(OR(LEFT($A224,2)="42",LEFT($A224,2)="43"),"Personnel",IF(LEFT($A224,2)="44","État/Fiscal",IF(LEFT($A224,1)="1","Capitaux",IF(LEFT($A224,1)="2","Immobilisations",IF(LEFT($A224,1)="3","Stocks",IF(LEFT($A224,1)="5","Trésorerie",IF(LEFT($A224,1)="6","Charges",IF(LEFT($A224,1)="7","Produits",IF(LEFT($A224,1)="8","HAO","Autres")))))))))))))</f>
        <v/>
      </c>
      <c r="F224" s="5">
        <f>IF($A224="","",$C224-$D224)</f>
        <v/>
      </c>
      <c r="G224" s="3">
        <f>IF(OR($A224="",$D224=0),"",($C224-$D224)/ABS($D224))</f>
        <v/>
      </c>
      <c r="H224">
        <f>IF($G224="","",IF(ABS($G224)&gt;=$E$2,"À investiguer",""))</f>
        <v/>
      </c>
    </row>
    <row r="225">
      <c r="C225" s="5" t="n"/>
      <c r="D225" s="5" t="n"/>
      <c r="E225">
        <f>IF($A225="","",IF(LEFT($A225,2)="40","Achats/Fournisseurs",IF(LEFT($A225,2)="41","Ventes/Clients",IF(OR(LEFT($A225,2)="42",LEFT($A225,2)="43"),"Personnel",IF(LEFT($A225,2)="44","État/Fiscal",IF(LEFT($A225,1)="1","Capitaux",IF(LEFT($A225,1)="2","Immobilisations",IF(LEFT($A225,1)="3","Stocks",IF(LEFT($A225,1)="5","Trésorerie",IF(LEFT($A225,1)="6","Charges",IF(LEFT($A225,1)="7","Produits",IF(LEFT($A225,1)="8","HAO","Autres")))))))))))))</f>
        <v/>
      </c>
      <c r="F225" s="5">
        <f>IF($A225="","",$C225-$D225)</f>
        <v/>
      </c>
      <c r="G225" s="3">
        <f>IF(OR($A225="",$D225=0),"",($C225-$D225)/ABS($D225))</f>
        <v/>
      </c>
      <c r="H225">
        <f>IF($G225="","",IF(ABS($G225)&gt;=$E$2,"À investiguer",""))</f>
        <v/>
      </c>
    </row>
    <row r="226">
      <c r="C226" s="5" t="n"/>
      <c r="D226" s="5" t="n"/>
      <c r="E226">
        <f>IF($A226="","",IF(LEFT($A226,2)="40","Achats/Fournisseurs",IF(LEFT($A226,2)="41","Ventes/Clients",IF(OR(LEFT($A226,2)="42",LEFT($A226,2)="43"),"Personnel",IF(LEFT($A226,2)="44","État/Fiscal",IF(LEFT($A226,1)="1","Capitaux",IF(LEFT($A226,1)="2","Immobilisations",IF(LEFT($A226,1)="3","Stocks",IF(LEFT($A226,1)="5","Trésorerie",IF(LEFT($A226,1)="6","Charges",IF(LEFT($A226,1)="7","Produits",IF(LEFT($A226,1)="8","HAO","Autres")))))))))))))</f>
        <v/>
      </c>
      <c r="F226" s="5">
        <f>IF($A226="","",$C226-$D226)</f>
        <v/>
      </c>
      <c r="G226" s="3">
        <f>IF(OR($A226="",$D226=0),"",($C226-$D226)/ABS($D226))</f>
        <v/>
      </c>
      <c r="H226">
        <f>IF($G226="","",IF(ABS($G226)&gt;=$E$2,"À investiguer",""))</f>
        <v/>
      </c>
    </row>
    <row r="227">
      <c r="C227" s="5" t="n"/>
      <c r="D227" s="5" t="n"/>
      <c r="E227">
        <f>IF($A227="","",IF(LEFT($A227,2)="40","Achats/Fournisseurs",IF(LEFT($A227,2)="41","Ventes/Clients",IF(OR(LEFT($A227,2)="42",LEFT($A227,2)="43"),"Personnel",IF(LEFT($A227,2)="44","État/Fiscal",IF(LEFT($A227,1)="1","Capitaux",IF(LEFT($A227,1)="2","Immobilisations",IF(LEFT($A227,1)="3","Stocks",IF(LEFT($A227,1)="5","Trésorerie",IF(LEFT($A227,1)="6","Charges",IF(LEFT($A227,1)="7","Produits",IF(LEFT($A227,1)="8","HAO","Autres")))))))))))))</f>
        <v/>
      </c>
      <c r="F227" s="5">
        <f>IF($A227="","",$C227-$D227)</f>
        <v/>
      </c>
      <c r="G227" s="3">
        <f>IF(OR($A227="",$D227=0),"",($C227-$D227)/ABS($D227))</f>
        <v/>
      </c>
      <c r="H227">
        <f>IF($G227="","",IF(ABS($G227)&gt;=$E$2,"À investiguer",""))</f>
        <v/>
      </c>
    </row>
    <row r="228">
      <c r="C228" s="5" t="n"/>
      <c r="D228" s="5" t="n"/>
      <c r="E228">
        <f>IF($A228="","",IF(LEFT($A228,2)="40","Achats/Fournisseurs",IF(LEFT($A228,2)="41","Ventes/Clients",IF(OR(LEFT($A228,2)="42",LEFT($A228,2)="43"),"Personnel",IF(LEFT($A228,2)="44","État/Fiscal",IF(LEFT($A228,1)="1","Capitaux",IF(LEFT($A228,1)="2","Immobilisations",IF(LEFT($A228,1)="3","Stocks",IF(LEFT($A228,1)="5","Trésorerie",IF(LEFT($A228,1)="6","Charges",IF(LEFT($A228,1)="7","Produits",IF(LEFT($A228,1)="8","HAO","Autres")))))))))))))</f>
        <v/>
      </c>
      <c r="F228" s="5">
        <f>IF($A228="","",$C228-$D228)</f>
        <v/>
      </c>
      <c r="G228" s="3">
        <f>IF(OR($A228="",$D228=0),"",($C228-$D228)/ABS($D228))</f>
        <v/>
      </c>
      <c r="H228">
        <f>IF($G228="","",IF(ABS($G228)&gt;=$E$2,"À investiguer",""))</f>
        <v/>
      </c>
    </row>
    <row r="229">
      <c r="C229" s="5" t="n"/>
      <c r="D229" s="5" t="n"/>
      <c r="E229">
        <f>IF($A229="","",IF(LEFT($A229,2)="40","Achats/Fournisseurs",IF(LEFT($A229,2)="41","Ventes/Clients",IF(OR(LEFT($A229,2)="42",LEFT($A229,2)="43"),"Personnel",IF(LEFT($A229,2)="44","État/Fiscal",IF(LEFT($A229,1)="1","Capitaux",IF(LEFT($A229,1)="2","Immobilisations",IF(LEFT($A229,1)="3","Stocks",IF(LEFT($A229,1)="5","Trésorerie",IF(LEFT($A229,1)="6","Charges",IF(LEFT($A229,1)="7","Produits",IF(LEFT($A229,1)="8","HAO","Autres")))))))))))))</f>
        <v/>
      </c>
      <c r="F229" s="5">
        <f>IF($A229="","",$C229-$D229)</f>
        <v/>
      </c>
      <c r="G229" s="3">
        <f>IF(OR($A229="",$D229=0),"",($C229-$D229)/ABS($D229))</f>
        <v/>
      </c>
      <c r="H229">
        <f>IF($G229="","",IF(ABS($G229)&gt;=$E$2,"À investiguer",""))</f>
        <v/>
      </c>
    </row>
    <row r="230">
      <c r="C230" s="5" t="n"/>
      <c r="D230" s="5" t="n"/>
      <c r="E230">
        <f>IF($A230="","",IF(LEFT($A230,2)="40","Achats/Fournisseurs",IF(LEFT($A230,2)="41","Ventes/Clients",IF(OR(LEFT($A230,2)="42",LEFT($A230,2)="43"),"Personnel",IF(LEFT($A230,2)="44","État/Fiscal",IF(LEFT($A230,1)="1","Capitaux",IF(LEFT($A230,1)="2","Immobilisations",IF(LEFT($A230,1)="3","Stocks",IF(LEFT($A230,1)="5","Trésorerie",IF(LEFT($A230,1)="6","Charges",IF(LEFT($A230,1)="7","Produits",IF(LEFT($A230,1)="8","HAO","Autres")))))))))))))</f>
        <v/>
      </c>
      <c r="F230" s="5">
        <f>IF($A230="","",$C230-$D230)</f>
        <v/>
      </c>
      <c r="G230" s="3">
        <f>IF(OR($A230="",$D230=0),"",($C230-$D230)/ABS($D230))</f>
        <v/>
      </c>
      <c r="H230">
        <f>IF($G230="","",IF(ABS($G230)&gt;=$E$2,"À investiguer",""))</f>
        <v/>
      </c>
    </row>
    <row r="231">
      <c r="C231" s="5" t="n"/>
      <c r="D231" s="5" t="n"/>
      <c r="E231">
        <f>IF($A231="","",IF(LEFT($A231,2)="40","Achats/Fournisseurs",IF(LEFT($A231,2)="41","Ventes/Clients",IF(OR(LEFT($A231,2)="42",LEFT($A231,2)="43"),"Personnel",IF(LEFT($A231,2)="44","État/Fiscal",IF(LEFT($A231,1)="1","Capitaux",IF(LEFT($A231,1)="2","Immobilisations",IF(LEFT($A231,1)="3","Stocks",IF(LEFT($A231,1)="5","Trésorerie",IF(LEFT($A231,1)="6","Charges",IF(LEFT($A231,1)="7","Produits",IF(LEFT($A231,1)="8","HAO","Autres")))))))))))))</f>
        <v/>
      </c>
      <c r="F231" s="5">
        <f>IF($A231="","",$C231-$D231)</f>
        <v/>
      </c>
      <c r="G231" s="3">
        <f>IF(OR($A231="",$D231=0),"",($C231-$D231)/ABS($D231))</f>
        <v/>
      </c>
      <c r="H231">
        <f>IF($G231="","",IF(ABS($G231)&gt;=$E$2,"À investiguer",""))</f>
        <v/>
      </c>
    </row>
    <row r="232">
      <c r="C232" s="5" t="n"/>
      <c r="D232" s="5" t="n"/>
      <c r="E232">
        <f>IF($A232="","",IF(LEFT($A232,2)="40","Achats/Fournisseurs",IF(LEFT($A232,2)="41","Ventes/Clients",IF(OR(LEFT($A232,2)="42",LEFT($A232,2)="43"),"Personnel",IF(LEFT($A232,2)="44","État/Fiscal",IF(LEFT($A232,1)="1","Capitaux",IF(LEFT($A232,1)="2","Immobilisations",IF(LEFT($A232,1)="3","Stocks",IF(LEFT($A232,1)="5","Trésorerie",IF(LEFT($A232,1)="6","Charges",IF(LEFT($A232,1)="7","Produits",IF(LEFT($A232,1)="8","HAO","Autres")))))))))))))</f>
        <v/>
      </c>
      <c r="F232" s="5">
        <f>IF($A232="","",$C232-$D232)</f>
        <v/>
      </c>
      <c r="G232" s="3">
        <f>IF(OR($A232="",$D232=0),"",($C232-$D232)/ABS($D232))</f>
        <v/>
      </c>
      <c r="H232">
        <f>IF($G232="","",IF(ABS($G232)&gt;=$E$2,"À investiguer",""))</f>
        <v/>
      </c>
    </row>
    <row r="233">
      <c r="C233" s="5" t="n"/>
      <c r="D233" s="5" t="n"/>
      <c r="E233">
        <f>IF($A233="","",IF(LEFT($A233,2)="40","Achats/Fournisseurs",IF(LEFT($A233,2)="41","Ventes/Clients",IF(OR(LEFT($A233,2)="42",LEFT($A233,2)="43"),"Personnel",IF(LEFT($A233,2)="44","État/Fiscal",IF(LEFT($A233,1)="1","Capitaux",IF(LEFT($A233,1)="2","Immobilisations",IF(LEFT($A233,1)="3","Stocks",IF(LEFT($A233,1)="5","Trésorerie",IF(LEFT($A233,1)="6","Charges",IF(LEFT($A233,1)="7","Produits",IF(LEFT($A233,1)="8","HAO","Autres")))))))))))))</f>
        <v/>
      </c>
      <c r="F233" s="5">
        <f>IF($A233="","",$C233-$D233)</f>
        <v/>
      </c>
      <c r="G233" s="3">
        <f>IF(OR($A233="",$D233=0),"",($C233-$D233)/ABS($D233))</f>
        <v/>
      </c>
      <c r="H233">
        <f>IF($G233="","",IF(ABS($G233)&gt;=$E$2,"À investiguer",""))</f>
        <v/>
      </c>
    </row>
    <row r="234">
      <c r="C234" s="5" t="n"/>
      <c r="D234" s="5" t="n"/>
      <c r="E234">
        <f>IF($A234="","",IF(LEFT($A234,2)="40","Achats/Fournisseurs",IF(LEFT($A234,2)="41","Ventes/Clients",IF(OR(LEFT($A234,2)="42",LEFT($A234,2)="43"),"Personnel",IF(LEFT($A234,2)="44","État/Fiscal",IF(LEFT($A234,1)="1","Capitaux",IF(LEFT($A234,1)="2","Immobilisations",IF(LEFT($A234,1)="3","Stocks",IF(LEFT($A234,1)="5","Trésorerie",IF(LEFT($A234,1)="6","Charges",IF(LEFT($A234,1)="7","Produits",IF(LEFT($A234,1)="8","HAO","Autres")))))))))))))</f>
        <v/>
      </c>
      <c r="F234" s="5">
        <f>IF($A234="","",$C234-$D234)</f>
        <v/>
      </c>
      <c r="G234" s="3">
        <f>IF(OR($A234="",$D234=0),"",($C234-$D234)/ABS($D234))</f>
        <v/>
      </c>
      <c r="H234">
        <f>IF($G234="","",IF(ABS($G234)&gt;=$E$2,"À investiguer",""))</f>
        <v/>
      </c>
    </row>
    <row r="235">
      <c r="C235" s="5" t="n"/>
      <c r="D235" s="5" t="n"/>
      <c r="E235">
        <f>IF($A235="","",IF(LEFT($A235,2)="40","Achats/Fournisseurs",IF(LEFT($A235,2)="41","Ventes/Clients",IF(OR(LEFT($A235,2)="42",LEFT($A235,2)="43"),"Personnel",IF(LEFT($A235,2)="44","État/Fiscal",IF(LEFT($A235,1)="1","Capitaux",IF(LEFT($A235,1)="2","Immobilisations",IF(LEFT($A235,1)="3","Stocks",IF(LEFT($A235,1)="5","Trésorerie",IF(LEFT($A235,1)="6","Charges",IF(LEFT($A235,1)="7","Produits",IF(LEFT($A235,1)="8","HAO","Autres")))))))))))))</f>
        <v/>
      </c>
      <c r="F235" s="5">
        <f>IF($A235="","",$C235-$D235)</f>
        <v/>
      </c>
      <c r="G235" s="3">
        <f>IF(OR($A235="",$D235=0),"",($C235-$D235)/ABS($D235))</f>
        <v/>
      </c>
      <c r="H235">
        <f>IF($G235="","",IF(ABS($G235)&gt;=$E$2,"À investiguer",""))</f>
        <v/>
      </c>
    </row>
    <row r="236">
      <c r="C236" s="5" t="n"/>
      <c r="D236" s="5" t="n"/>
      <c r="E236">
        <f>IF($A236="","",IF(LEFT($A236,2)="40","Achats/Fournisseurs",IF(LEFT($A236,2)="41","Ventes/Clients",IF(OR(LEFT($A236,2)="42",LEFT($A236,2)="43"),"Personnel",IF(LEFT($A236,2)="44","État/Fiscal",IF(LEFT($A236,1)="1","Capitaux",IF(LEFT($A236,1)="2","Immobilisations",IF(LEFT($A236,1)="3","Stocks",IF(LEFT($A236,1)="5","Trésorerie",IF(LEFT($A236,1)="6","Charges",IF(LEFT($A236,1)="7","Produits",IF(LEFT($A236,1)="8","HAO","Autres")))))))))))))</f>
        <v/>
      </c>
      <c r="F236" s="5">
        <f>IF($A236="","",$C236-$D236)</f>
        <v/>
      </c>
      <c r="G236" s="3">
        <f>IF(OR($A236="",$D236=0),"",($C236-$D236)/ABS($D236))</f>
        <v/>
      </c>
      <c r="H236">
        <f>IF($G236="","",IF(ABS($G236)&gt;=$E$2,"À investiguer",""))</f>
        <v/>
      </c>
    </row>
    <row r="237">
      <c r="C237" s="5" t="n"/>
      <c r="D237" s="5" t="n"/>
      <c r="E237">
        <f>IF($A237="","",IF(LEFT($A237,2)="40","Achats/Fournisseurs",IF(LEFT($A237,2)="41","Ventes/Clients",IF(OR(LEFT($A237,2)="42",LEFT($A237,2)="43"),"Personnel",IF(LEFT($A237,2)="44","État/Fiscal",IF(LEFT($A237,1)="1","Capitaux",IF(LEFT($A237,1)="2","Immobilisations",IF(LEFT($A237,1)="3","Stocks",IF(LEFT($A237,1)="5","Trésorerie",IF(LEFT($A237,1)="6","Charges",IF(LEFT($A237,1)="7","Produits",IF(LEFT($A237,1)="8","HAO","Autres")))))))))))))</f>
        <v/>
      </c>
      <c r="F237" s="5">
        <f>IF($A237="","",$C237-$D237)</f>
        <v/>
      </c>
      <c r="G237" s="3">
        <f>IF(OR($A237="",$D237=0),"",($C237-$D237)/ABS($D237))</f>
        <v/>
      </c>
      <c r="H237">
        <f>IF($G237="","",IF(ABS($G237)&gt;=$E$2,"À investiguer",""))</f>
        <v/>
      </c>
    </row>
    <row r="238">
      <c r="C238" s="5" t="n"/>
      <c r="D238" s="5" t="n"/>
      <c r="E238">
        <f>IF($A238="","",IF(LEFT($A238,2)="40","Achats/Fournisseurs",IF(LEFT($A238,2)="41","Ventes/Clients",IF(OR(LEFT($A238,2)="42",LEFT($A238,2)="43"),"Personnel",IF(LEFT($A238,2)="44","État/Fiscal",IF(LEFT($A238,1)="1","Capitaux",IF(LEFT($A238,1)="2","Immobilisations",IF(LEFT($A238,1)="3","Stocks",IF(LEFT($A238,1)="5","Trésorerie",IF(LEFT($A238,1)="6","Charges",IF(LEFT($A238,1)="7","Produits",IF(LEFT($A238,1)="8","HAO","Autres")))))))))))))</f>
        <v/>
      </c>
      <c r="F238" s="5">
        <f>IF($A238="","",$C238-$D238)</f>
        <v/>
      </c>
      <c r="G238" s="3">
        <f>IF(OR($A238="",$D238=0),"",($C238-$D238)/ABS($D238))</f>
        <v/>
      </c>
      <c r="H238">
        <f>IF($G238="","",IF(ABS($G238)&gt;=$E$2,"À investiguer",""))</f>
        <v/>
      </c>
    </row>
    <row r="239">
      <c r="C239" s="5" t="n"/>
      <c r="D239" s="5" t="n"/>
      <c r="E239">
        <f>IF($A239="","",IF(LEFT($A239,2)="40","Achats/Fournisseurs",IF(LEFT($A239,2)="41","Ventes/Clients",IF(OR(LEFT($A239,2)="42",LEFT($A239,2)="43"),"Personnel",IF(LEFT($A239,2)="44","État/Fiscal",IF(LEFT($A239,1)="1","Capitaux",IF(LEFT($A239,1)="2","Immobilisations",IF(LEFT($A239,1)="3","Stocks",IF(LEFT($A239,1)="5","Trésorerie",IF(LEFT($A239,1)="6","Charges",IF(LEFT($A239,1)="7","Produits",IF(LEFT($A239,1)="8","HAO","Autres")))))))))))))</f>
        <v/>
      </c>
      <c r="F239" s="5">
        <f>IF($A239="","",$C239-$D239)</f>
        <v/>
      </c>
      <c r="G239" s="3">
        <f>IF(OR($A239="",$D239=0),"",($C239-$D239)/ABS($D239))</f>
        <v/>
      </c>
      <c r="H239">
        <f>IF($G239="","",IF(ABS($G239)&gt;=$E$2,"À investiguer",""))</f>
        <v/>
      </c>
    </row>
    <row r="240">
      <c r="C240" s="5" t="n"/>
      <c r="D240" s="5" t="n"/>
      <c r="E240">
        <f>IF($A240="","",IF(LEFT($A240,2)="40","Achats/Fournisseurs",IF(LEFT($A240,2)="41","Ventes/Clients",IF(OR(LEFT($A240,2)="42",LEFT($A240,2)="43"),"Personnel",IF(LEFT($A240,2)="44","État/Fiscal",IF(LEFT($A240,1)="1","Capitaux",IF(LEFT($A240,1)="2","Immobilisations",IF(LEFT($A240,1)="3","Stocks",IF(LEFT($A240,1)="5","Trésorerie",IF(LEFT($A240,1)="6","Charges",IF(LEFT($A240,1)="7","Produits",IF(LEFT($A240,1)="8","HAO","Autres")))))))))))))</f>
        <v/>
      </c>
      <c r="F240" s="5">
        <f>IF($A240="","",$C240-$D240)</f>
        <v/>
      </c>
      <c r="G240" s="3">
        <f>IF(OR($A240="",$D240=0),"",($C240-$D240)/ABS($D240))</f>
        <v/>
      </c>
      <c r="H240">
        <f>IF($G240="","",IF(ABS($G240)&gt;=$E$2,"À investiguer",""))</f>
        <v/>
      </c>
    </row>
    <row r="241">
      <c r="C241" s="5" t="n"/>
      <c r="D241" s="5" t="n"/>
      <c r="E241">
        <f>IF($A241="","",IF(LEFT($A241,2)="40","Achats/Fournisseurs",IF(LEFT($A241,2)="41","Ventes/Clients",IF(OR(LEFT($A241,2)="42",LEFT($A241,2)="43"),"Personnel",IF(LEFT($A241,2)="44","État/Fiscal",IF(LEFT($A241,1)="1","Capitaux",IF(LEFT($A241,1)="2","Immobilisations",IF(LEFT($A241,1)="3","Stocks",IF(LEFT($A241,1)="5","Trésorerie",IF(LEFT($A241,1)="6","Charges",IF(LEFT($A241,1)="7","Produits",IF(LEFT($A241,1)="8","HAO","Autres")))))))))))))</f>
        <v/>
      </c>
      <c r="F241" s="5">
        <f>IF($A241="","",$C241-$D241)</f>
        <v/>
      </c>
      <c r="G241" s="3">
        <f>IF(OR($A241="",$D241=0),"",($C241-$D241)/ABS($D241))</f>
        <v/>
      </c>
      <c r="H241">
        <f>IF($G241="","",IF(ABS($G241)&gt;=$E$2,"À investiguer",""))</f>
        <v/>
      </c>
    </row>
    <row r="242">
      <c r="C242" s="5" t="n"/>
      <c r="D242" s="5" t="n"/>
      <c r="E242">
        <f>IF($A242="","",IF(LEFT($A242,2)="40","Achats/Fournisseurs",IF(LEFT($A242,2)="41","Ventes/Clients",IF(OR(LEFT($A242,2)="42",LEFT($A242,2)="43"),"Personnel",IF(LEFT($A242,2)="44","État/Fiscal",IF(LEFT($A242,1)="1","Capitaux",IF(LEFT($A242,1)="2","Immobilisations",IF(LEFT($A242,1)="3","Stocks",IF(LEFT($A242,1)="5","Trésorerie",IF(LEFT($A242,1)="6","Charges",IF(LEFT($A242,1)="7","Produits",IF(LEFT($A242,1)="8","HAO","Autres")))))))))))))</f>
        <v/>
      </c>
      <c r="F242" s="5">
        <f>IF($A242="","",$C242-$D242)</f>
        <v/>
      </c>
      <c r="G242" s="3">
        <f>IF(OR($A242="",$D242=0),"",($C242-$D242)/ABS($D242))</f>
        <v/>
      </c>
      <c r="H242">
        <f>IF($G242="","",IF(ABS($G242)&gt;=$E$2,"À investiguer",""))</f>
        <v/>
      </c>
    </row>
    <row r="243">
      <c r="C243" s="5" t="n"/>
      <c r="D243" s="5" t="n"/>
      <c r="E243">
        <f>IF($A243="","",IF(LEFT($A243,2)="40","Achats/Fournisseurs",IF(LEFT($A243,2)="41","Ventes/Clients",IF(OR(LEFT($A243,2)="42",LEFT($A243,2)="43"),"Personnel",IF(LEFT($A243,2)="44","État/Fiscal",IF(LEFT($A243,1)="1","Capitaux",IF(LEFT($A243,1)="2","Immobilisations",IF(LEFT($A243,1)="3","Stocks",IF(LEFT($A243,1)="5","Trésorerie",IF(LEFT($A243,1)="6","Charges",IF(LEFT($A243,1)="7","Produits",IF(LEFT($A243,1)="8","HAO","Autres")))))))))))))</f>
        <v/>
      </c>
      <c r="F243" s="5">
        <f>IF($A243="","",$C243-$D243)</f>
        <v/>
      </c>
      <c r="G243" s="3">
        <f>IF(OR($A243="",$D243=0),"",($C243-$D243)/ABS($D243))</f>
        <v/>
      </c>
      <c r="H243">
        <f>IF($G243="","",IF(ABS($G243)&gt;=$E$2,"À investiguer",""))</f>
        <v/>
      </c>
    </row>
    <row r="244">
      <c r="C244" s="5" t="n"/>
      <c r="D244" s="5" t="n"/>
      <c r="E244">
        <f>IF($A244="","",IF(LEFT($A244,2)="40","Achats/Fournisseurs",IF(LEFT($A244,2)="41","Ventes/Clients",IF(OR(LEFT($A244,2)="42",LEFT($A244,2)="43"),"Personnel",IF(LEFT($A244,2)="44","État/Fiscal",IF(LEFT($A244,1)="1","Capitaux",IF(LEFT($A244,1)="2","Immobilisations",IF(LEFT($A244,1)="3","Stocks",IF(LEFT($A244,1)="5","Trésorerie",IF(LEFT($A244,1)="6","Charges",IF(LEFT($A244,1)="7","Produits",IF(LEFT($A244,1)="8","HAO","Autres")))))))))))))</f>
        <v/>
      </c>
      <c r="F244" s="5">
        <f>IF($A244="","",$C244-$D244)</f>
        <v/>
      </c>
      <c r="G244" s="3">
        <f>IF(OR($A244="",$D244=0),"",($C244-$D244)/ABS($D244))</f>
        <v/>
      </c>
      <c r="H244">
        <f>IF($G244="","",IF(ABS($G244)&gt;=$E$2,"À investiguer",""))</f>
        <v/>
      </c>
    </row>
    <row r="245">
      <c r="C245" s="5" t="n"/>
      <c r="D245" s="5" t="n"/>
      <c r="E245">
        <f>IF($A245="","",IF(LEFT($A245,2)="40","Achats/Fournisseurs",IF(LEFT($A245,2)="41","Ventes/Clients",IF(OR(LEFT($A245,2)="42",LEFT($A245,2)="43"),"Personnel",IF(LEFT($A245,2)="44","État/Fiscal",IF(LEFT($A245,1)="1","Capitaux",IF(LEFT($A245,1)="2","Immobilisations",IF(LEFT($A245,1)="3","Stocks",IF(LEFT($A245,1)="5","Trésorerie",IF(LEFT($A245,1)="6","Charges",IF(LEFT($A245,1)="7","Produits",IF(LEFT($A245,1)="8","HAO","Autres")))))))))))))</f>
        <v/>
      </c>
      <c r="F245" s="5">
        <f>IF($A245="","",$C245-$D245)</f>
        <v/>
      </c>
      <c r="G245" s="3">
        <f>IF(OR($A245="",$D245=0),"",($C245-$D245)/ABS($D245))</f>
        <v/>
      </c>
      <c r="H245">
        <f>IF($G245="","",IF(ABS($G245)&gt;=$E$2,"À investiguer",""))</f>
        <v/>
      </c>
    </row>
    <row r="246">
      <c r="C246" s="5" t="n"/>
      <c r="D246" s="5" t="n"/>
      <c r="E246">
        <f>IF($A246="","",IF(LEFT($A246,2)="40","Achats/Fournisseurs",IF(LEFT($A246,2)="41","Ventes/Clients",IF(OR(LEFT($A246,2)="42",LEFT($A246,2)="43"),"Personnel",IF(LEFT($A246,2)="44","État/Fiscal",IF(LEFT($A246,1)="1","Capitaux",IF(LEFT($A246,1)="2","Immobilisations",IF(LEFT($A246,1)="3","Stocks",IF(LEFT($A246,1)="5","Trésorerie",IF(LEFT($A246,1)="6","Charges",IF(LEFT($A246,1)="7","Produits",IF(LEFT($A246,1)="8","HAO","Autres")))))))))))))</f>
        <v/>
      </c>
      <c r="F246" s="5">
        <f>IF($A246="","",$C246-$D246)</f>
        <v/>
      </c>
      <c r="G246" s="3">
        <f>IF(OR($A246="",$D246=0),"",($C246-$D246)/ABS($D246))</f>
        <v/>
      </c>
      <c r="H246">
        <f>IF($G246="","",IF(ABS($G246)&gt;=$E$2,"À investiguer",""))</f>
        <v/>
      </c>
    </row>
    <row r="247">
      <c r="C247" s="5" t="n"/>
      <c r="D247" s="5" t="n"/>
      <c r="E247">
        <f>IF($A247="","",IF(LEFT($A247,2)="40","Achats/Fournisseurs",IF(LEFT($A247,2)="41","Ventes/Clients",IF(OR(LEFT($A247,2)="42",LEFT($A247,2)="43"),"Personnel",IF(LEFT($A247,2)="44","État/Fiscal",IF(LEFT($A247,1)="1","Capitaux",IF(LEFT($A247,1)="2","Immobilisations",IF(LEFT($A247,1)="3","Stocks",IF(LEFT($A247,1)="5","Trésorerie",IF(LEFT($A247,1)="6","Charges",IF(LEFT($A247,1)="7","Produits",IF(LEFT($A247,1)="8","HAO","Autres")))))))))))))</f>
        <v/>
      </c>
      <c r="F247" s="5">
        <f>IF($A247="","",$C247-$D247)</f>
        <v/>
      </c>
      <c r="G247" s="3">
        <f>IF(OR($A247="",$D247=0),"",($C247-$D247)/ABS($D247))</f>
        <v/>
      </c>
      <c r="H247">
        <f>IF($G247="","",IF(ABS($G247)&gt;=$E$2,"À investiguer",""))</f>
        <v/>
      </c>
    </row>
    <row r="248">
      <c r="C248" s="5" t="n"/>
      <c r="D248" s="5" t="n"/>
      <c r="E248">
        <f>IF($A248="","",IF(LEFT($A248,2)="40","Achats/Fournisseurs",IF(LEFT($A248,2)="41","Ventes/Clients",IF(OR(LEFT($A248,2)="42",LEFT($A248,2)="43"),"Personnel",IF(LEFT($A248,2)="44","État/Fiscal",IF(LEFT($A248,1)="1","Capitaux",IF(LEFT($A248,1)="2","Immobilisations",IF(LEFT($A248,1)="3","Stocks",IF(LEFT($A248,1)="5","Trésorerie",IF(LEFT($A248,1)="6","Charges",IF(LEFT($A248,1)="7","Produits",IF(LEFT($A248,1)="8","HAO","Autres")))))))))))))</f>
        <v/>
      </c>
      <c r="F248" s="5">
        <f>IF($A248="","",$C248-$D248)</f>
        <v/>
      </c>
      <c r="G248" s="3">
        <f>IF(OR($A248="",$D248=0),"",($C248-$D248)/ABS($D248))</f>
        <v/>
      </c>
      <c r="H248">
        <f>IF($G248="","",IF(ABS($G248)&gt;=$E$2,"À investiguer",""))</f>
        <v/>
      </c>
    </row>
    <row r="249">
      <c r="C249" s="5" t="n"/>
      <c r="D249" s="5" t="n"/>
      <c r="E249">
        <f>IF($A249="","",IF(LEFT($A249,2)="40","Achats/Fournisseurs",IF(LEFT($A249,2)="41","Ventes/Clients",IF(OR(LEFT($A249,2)="42",LEFT($A249,2)="43"),"Personnel",IF(LEFT($A249,2)="44","État/Fiscal",IF(LEFT($A249,1)="1","Capitaux",IF(LEFT($A249,1)="2","Immobilisations",IF(LEFT($A249,1)="3","Stocks",IF(LEFT($A249,1)="5","Trésorerie",IF(LEFT($A249,1)="6","Charges",IF(LEFT($A249,1)="7","Produits",IF(LEFT($A249,1)="8","HAO","Autres")))))))))))))</f>
        <v/>
      </c>
      <c r="F249" s="5">
        <f>IF($A249="","",$C249-$D249)</f>
        <v/>
      </c>
      <c r="G249" s="3">
        <f>IF(OR($A249="",$D249=0),"",($C249-$D249)/ABS($D249))</f>
        <v/>
      </c>
      <c r="H249">
        <f>IF($G249="","",IF(ABS($G249)&gt;=$E$2,"À investiguer",""))</f>
        <v/>
      </c>
    </row>
    <row r="250">
      <c r="C250" s="5" t="n"/>
      <c r="D250" s="5" t="n"/>
      <c r="E250">
        <f>IF($A250="","",IF(LEFT($A250,2)="40","Achats/Fournisseurs",IF(LEFT($A250,2)="41","Ventes/Clients",IF(OR(LEFT($A250,2)="42",LEFT($A250,2)="43"),"Personnel",IF(LEFT($A250,2)="44","État/Fiscal",IF(LEFT($A250,1)="1","Capitaux",IF(LEFT($A250,1)="2","Immobilisations",IF(LEFT($A250,1)="3","Stocks",IF(LEFT($A250,1)="5","Trésorerie",IF(LEFT($A250,1)="6","Charges",IF(LEFT($A250,1)="7","Produits",IF(LEFT($A250,1)="8","HAO","Autres")))))))))))))</f>
        <v/>
      </c>
      <c r="F250" s="5">
        <f>IF($A250="","",$C250-$D250)</f>
        <v/>
      </c>
      <c r="G250" s="3">
        <f>IF(OR($A250="",$D250=0),"",($C250-$D250)/ABS($D250))</f>
        <v/>
      </c>
      <c r="H250">
        <f>IF($G250="","",IF(ABS($G250)&gt;=$E$2,"À investiguer",""))</f>
        <v/>
      </c>
    </row>
    <row r="251">
      <c r="C251" s="5" t="n"/>
      <c r="D251" s="5" t="n"/>
      <c r="E251">
        <f>IF($A251="","",IF(LEFT($A251,2)="40","Achats/Fournisseurs",IF(LEFT($A251,2)="41","Ventes/Clients",IF(OR(LEFT($A251,2)="42",LEFT($A251,2)="43"),"Personnel",IF(LEFT($A251,2)="44","État/Fiscal",IF(LEFT($A251,1)="1","Capitaux",IF(LEFT($A251,1)="2","Immobilisations",IF(LEFT($A251,1)="3","Stocks",IF(LEFT($A251,1)="5","Trésorerie",IF(LEFT($A251,1)="6","Charges",IF(LEFT($A251,1)="7","Produits",IF(LEFT($A251,1)="8","HAO","Autres")))))))))))))</f>
        <v/>
      </c>
      <c r="F251" s="5">
        <f>IF($A251="","",$C251-$D251)</f>
        <v/>
      </c>
      <c r="G251" s="3">
        <f>IF(OR($A251="",$D251=0),"",($C251-$D251)/ABS($D251))</f>
        <v/>
      </c>
      <c r="H251">
        <f>IF($G251="","",IF(ABS($G251)&gt;=$E$2,"À investiguer",""))</f>
        <v/>
      </c>
    </row>
    <row r="252">
      <c r="C252" s="5" t="n"/>
      <c r="D252" s="5" t="n"/>
      <c r="E252">
        <f>IF($A252="","",IF(LEFT($A252,2)="40","Achats/Fournisseurs",IF(LEFT($A252,2)="41","Ventes/Clients",IF(OR(LEFT($A252,2)="42",LEFT($A252,2)="43"),"Personnel",IF(LEFT($A252,2)="44","État/Fiscal",IF(LEFT($A252,1)="1","Capitaux",IF(LEFT($A252,1)="2","Immobilisations",IF(LEFT($A252,1)="3","Stocks",IF(LEFT($A252,1)="5","Trésorerie",IF(LEFT($A252,1)="6","Charges",IF(LEFT($A252,1)="7","Produits",IF(LEFT($A252,1)="8","HAO","Autres")))))))))))))</f>
        <v/>
      </c>
      <c r="F252" s="5">
        <f>IF($A252="","",$C252-$D252)</f>
        <v/>
      </c>
      <c r="G252" s="3">
        <f>IF(OR($A252="",$D252=0),"",($C252-$D252)/ABS($D252))</f>
        <v/>
      </c>
      <c r="H252">
        <f>IF($G252="","",IF(ABS($G252)&gt;=$E$2,"À investiguer",""))</f>
        <v/>
      </c>
    </row>
    <row r="253">
      <c r="C253" s="5" t="n"/>
      <c r="D253" s="5" t="n"/>
      <c r="E253">
        <f>IF($A253="","",IF(LEFT($A253,2)="40","Achats/Fournisseurs",IF(LEFT($A253,2)="41","Ventes/Clients",IF(OR(LEFT($A253,2)="42",LEFT($A253,2)="43"),"Personnel",IF(LEFT($A253,2)="44","État/Fiscal",IF(LEFT($A253,1)="1","Capitaux",IF(LEFT($A253,1)="2","Immobilisations",IF(LEFT($A253,1)="3","Stocks",IF(LEFT($A253,1)="5","Trésorerie",IF(LEFT($A253,1)="6","Charges",IF(LEFT($A253,1)="7","Produits",IF(LEFT($A253,1)="8","HAO","Autres")))))))))))))</f>
        <v/>
      </c>
      <c r="F253" s="5">
        <f>IF($A253="","",$C253-$D253)</f>
        <v/>
      </c>
      <c r="G253" s="3">
        <f>IF(OR($A253="",$D253=0),"",($C253-$D253)/ABS($D253))</f>
        <v/>
      </c>
      <c r="H253">
        <f>IF($G253="","",IF(ABS($G253)&gt;=$E$2,"À investiguer",""))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SYNTHÈSE PAR CYCLE (feuilles maîtresses)</t>
        </is>
      </c>
    </row>
    <row r="3">
      <c r="A3" s="4" t="inlineStr">
        <is>
          <t>Cycle</t>
        </is>
      </c>
      <c r="B3" s="4" t="inlineStr">
        <is>
          <t>Total N</t>
        </is>
      </c>
      <c r="C3" s="4" t="inlineStr">
        <is>
          <t>Total N-1</t>
        </is>
      </c>
      <c r="D3" s="4" t="inlineStr">
        <is>
          <t>Variation</t>
        </is>
      </c>
      <c r="E3" s="4" t="inlineStr">
        <is>
          <t>Var %</t>
        </is>
      </c>
    </row>
    <row r="4">
      <c r="A4" t="inlineStr">
        <is>
          <t>Achats/Fournisseurs</t>
        </is>
      </c>
      <c r="B4" s="5">
        <f>SUMIF(Balance!$E$4:$E$253,$A4,Balance!$C$4:$C$253)</f>
        <v/>
      </c>
      <c r="C4" s="5">
        <f>SUMIF(Balance!$E$4:$E$253,$A4,Balance!$D$4:$D$253)</f>
        <v/>
      </c>
      <c r="D4" s="5">
        <f>B4-C4</f>
        <v/>
      </c>
      <c r="E4" s="3">
        <f>IF(C4=0,"",(B4-C4)/ABS(C4))</f>
        <v/>
      </c>
    </row>
    <row r="5">
      <c r="A5" t="inlineStr">
        <is>
          <t>Ventes/Clients</t>
        </is>
      </c>
      <c r="B5" s="5">
        <f>SUMIF(Balance!$E$4:$E$253,$A5,Balance!$C$4:$C$253)</f>
        <v/>
      </c>
      <c r="C5" s="5">
        <f>SUMIF(Balance!$E$4:$E$253,$A5,Balance!$D$4:$D$253)</f>
        <v/>
      </c>
      <c r="D5" s="5">
        <f>B5-C5</f>
        <v/>
      </c>
      <c r="E5" s="3">
        <f>IF(C5=0,"",(B5-C5)/ABS(C5))</f>
        <v/>
      </c>
    </row>
    <row r="6">
      <c r="A6" t="inlineStr">
        <is>
          <t>Personnel</t>
        </is>
      </c>
      <c r="B6" s="5">
        <f>SUMIF(Balance!$E$4:$E$253,$A6,Balance!$C$4:$C$253)</f>
        <v/>
      </c>
      <c r="C6" s="5">
        <f>SUMIF(Balance!$E$4:$E$253,$A6,Balance!$D$4:$D$253)</f>
        <v/>
      </c>
      <c r="D6" s="5">
        <f>B6-C6</f>
        <v/>
      </c>
      <c r="E6" s="3">
        <f>IF(C6=0,"",(B6-C6)/ABS(C6))</f>
        <v/>
      </c>
    </row>
    <row r="7">
      <c r="A7" t="inlineStr">
        <is>
          <t>État/Fiscal</t>
        </is>
      </c>
      <c r="B7" s="5">
        <f>SUMIF(Balance!$E$4:$E$253,$A7,Balance!$C$4:$C$253)</f>
        <v/>
      </c>
      <c r="C7" s="5">
        <f>SUMIF(Balance!$E$4:$E$253,$A7,Balance!$D$4:$D$253)</f>
        <v/>
      </c>
      <c r="D7" s="5">
        <f>B7-C7</f>
        <v/>
      </c>
      <c r="E7" s="3">
        <f>IF(C7=0,"",(B7-C7)/ABS(C7))</f>
        <v/>
      </c>
    </row>
    <row r="8">
      <c r="A8" t="inlineStr">
        <is>
          <t>Capitaux</t>
        </is>
      </c>
      <c r="B8" s="5">
        <f>SUMIF(Balance!$E$4:$E$253,$A8,Balance!$C$4:$C$253)</f>
        <v/>
      </c>
      <c r="C8" s="5">
        <f>SUMIF(Balance!$E$4:$E$253,$A8,Balance!$D$4:$D$253)</f>
        <v/>
      </c>
      <c r="D8" s="5">
        <f>B8-C8</f>
        <v/>
      </c>
      <c r="E8" s="3">
        <f>IF(C8=0,"",(B8-C8)/ABS(C8))</f>
        <v/>
      </c>
    </row>
    <row r="9">
      <c r="A9" t="inlineStr">
        <is>
          <t>Immobilisations</t>
        </is>
      </c>
      <c r="B9" s="5">
        <f>SUMIF(Balance!$E$4:$E$253,$A9,Balance!$C$4:$C$253)</f>
        <v/>
      </c>
      <c r="C9" s="5">
        <f>SUMIF(Balance!$E$4:$E$253,$A9,Balance!$D$4:$D$253)</f>
        <v/>
      </c>
      <c r="D9" s="5">
        <f>B9-C9</f>
        <v/>
      </c>
      <c r="E9" s="3">
        <f>IF(C9=0,"",(B9-C9)/ABS(C9))</f>
        <v/>
      </c>
    </row>
    <row r="10">
      <c r="A10" t="inlineStr">
        <is>
          <t>Stocks</t>
        </is>
      </c>
      <c r="B10" s="5">
        <f>SUMIF(Balance!$E$4:$E$253,$A10,Balance!$C$4:$C$253)</f>
        <v/>
      </c>
      <c r="C10" s="5">
        <f>SUMIF(Balance!$E$4:$E$253,$A10,Balance!$D$4:$D$253)</f>
        <v/>
      </c>
      <c r="D10" s="5">
        <f>B10-C10</f>
        <v/>
      </c>
      <c r="E10" s="3">
        <f>IF(C10=0,"",(B10-C10)/ABS(C10))</f>
        <v/>
      </c>
    </row>
    <row r="11">
      <c r="A11" t="inlineStr">
        <is>
          <t>Trésorerie</t>
        </is>
      </c>
      <c r="B11" s="5">
        <f>SUMIF(Balance!$E$4:$E$253,$A11,Balance!$C$4:$C$253)</f>
        <v/>
      </c>
      <c r="C11" s="5">
        <f>SUMIF(Balance!$E$4:$E$253,$A11,Balance!$D$4:$D$253)</f>
        <v/>
      </c>
      <c r="D11" s="5">
        <f>B11-C11</f>
        <v/>
      </c>
      <c r="E11" s="3">
        <f>IF(C11=0,"",(B11-C11)/ABS(C11))</f>
        <v/>
      </c>
    </row>
    <row r="12">
      <c r="A12" t="inlineStr">
        <is>
          <t>Charges</t>
        </is>
      </c>
      <c r="B12" s="5">
        <f>SUMIF(Balance!$E$4:$E$253,$A12,Balance!$C$4:$C$253)</f>
        <v/>
      </c>
      <c r="C12" s="5">
        <f>SUMIF(Balance!$E$4:$E$253,$A12,Balance!$D$4:$D$253)</f>
        <v/>
      </c>
      <c r="D12" s="5">
        <f>B12-C12</f>
        <v/>
      </c>
      <c r="E12" s="3">
        <f>IF(C12=0,"",(B12-C12)/ABS(C12))</f>
        <v/>
      </c>
    </row>
    <row r="13">
      <c r="A13" t="inlineStr">
        <is>
          <t>Produits</t>
        </is>
      </c>
      <c r="B13" s="5">
        <f>SUMIF(Balance!$E$4:$E$253,$A13,Balance!$C$4:$C$253)</f>
        <v/>
      </c>
      <c r="C13" s="5">
        <f>SUMIF(Balance!$E$4:$E$253,$A13,Balance!$D$4:$D$253)</f>
        <v/>
      </c>
      <c r="D13" s="5">
        <f>B13-C13</f>
        <v/>
      </c>
      <c r="E13" s="3">
        <f>IF(C13=0,"",(B13-C13)/ABS(C13))</f>
        <v/>
      </c>
    </row>
    <row r="14">
      <c r="A14" t="inlineStr">
        <is>
          <t>HAO</t>
        </is>
      </c>
      <c r="B14" s="5">
        <f>SUMIF(Balance!$E$4:$E$253,$A14,Balance!$C$4:$C$253)</f>
        <v/>
      </c>
      <c r="C14" s="5">
        <f>SUMIF(Balance!$E$4:$E$253,$A14,Balance!$D$4:$D$253)</f>
        <v/>
      </c>
      <c r="D14" s="5">
        <f>B14-C14</f>
        <v/>
      </c>
      <c r="E14" s="3">
        <f>IF(C14=0,"",(B14-C14)/ABS(C14))</f>
        <v/>
      </c>
    </row>
    <row r="15">
      <c r="A15" t="inlineStr">
        <is>
          <t>Autres</t>
        </is>
      </c>
      <c r="B15" s="5">
        <f>SUMIF(Balance!$E$4:$E$253,$A15,Balance!$C$4:$C$253)</f>
        <v/>
      </c>
      <c r="C15" s="5">
        <f>SUMIF(Balance!$E$4:$E$253,$A15,Balance!$D$4:$D$253)</f>
        <v/>
      </c>
      <c r="D15" s="5">
        <f>B15-C15</f>
        <v/>
      </c>
      <c r="E15" s="3">
        <f>IF(C15=0,"",(B15-C15)/ABS(C15))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2026-09-30T16:51:38Z</dcterms:created>
  <dcterms:modified xsi:type="dcterms:W3CDTF">2026-09-30T16:51:38Z</dcterms:modified>
</cp:coreProperties>
</file>