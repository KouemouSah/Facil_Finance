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metres" sheetId="1" state="visible" r:id="rId1"/>
    <sheet xmlns:r="http://schemas.openxmlformats.org/officeDocument/2006/relationships" name="Pla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0.0000"/>
  </numFmts>
  <fonts count="5">
    <font>
      <name val="Calibri"/>
      <family val="2"/>
      <color theme="1"/>
      <sz val="11"/>
      <scheme val="minor"/>
    </font>
    <font>
      <b val="1"/>
      <color rgb="001F4E78"/>
      <sz val="13"/>
    </font>
    <font>
      <b val="1"/>
    </font>
    <font>
      <i val="1"/>
      <color rgb="00808080"/>
      <sz val="9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3" fontId="0" fillId="0" borderId="0" pivotButton="0" quotePrefix="0" xfId="0"/>
    <xf numFmtId="1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/>
    </xf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42" customWidth="1" min="1" max="1"/>
    <col width="20" customWidth="1" min="2" max="2"/>
  </cols>
  <sheetData>
    <row r="1">
      <c r="A1" s="1" t="inlineStr">
        <is>
          <t>PARAMÈTRES — Tableau d'amortissement (SYSCOHADA révisé)</t>
        </is>
      </c>
    </row>
    <row r="3">
      <c r="A3" s="2" t="inlineStr">
        <is>
          <t>Valeur d'origine (VO)</t>
        </is>
      </c>
      <c r="B3" s="3" t="n">
        <v>12000000</v>
      </c>
    </row>
    <row r="4">
      <c r="A4" s="2" t="inlineStr">
        <is>
          <t>Valeur résiduelle</t>
        </is>
      </c>
      <c r="B4" s="3" t="n">
        <v>0</v>
      </c>
    </row>
    <row r="5">
      <c r="A5" s="2" t="inlineStr">
        <is>
          <t>Durée d'utilité (années)</t>
        </is>
      </c>
      <c r="B5" s="4" t="n">
        <v>5</v>
      </c>
    </row>
    <row r="6">
      <c r="A6" s="2" t="inlineStr">
        <is>
          <t>Date de mise en service</t>
        </is>
      </c>
      <c r="B6" s="5" t="n">
        <v>45397</v>
      </c>
    </row>
    <row r="7">
      <c r="A7" s="2" t="inlineStr">
        <is>
          <t>Méthode (ce template = linéaire)</t>
        </is>
      </c>
      <c r="B7" t="inlineStr">
        <is>
          <t>lineaire</t>
        </is>
      </c>
    </row>
    <row r="8">
      <c r="A8" s="2" t="inlineStr">
        <is>
          <t>Prorata 1re année (base 360 jours)</t>
        </is>
      </c>
      <c r="B8" t="inlineStr">
        <is>
          <t>jours</t>
        </is>
      </c>
    </row>
    <row r="9">
      <c r="A9" s="2" t="inlineStr">
        <is>
          <t>Base amortissable (VO - VR)</t>
        </is>
      </c>
      <c r="B9" s="3">
        <f>B3-B4</f>
        <v/>
      </c>
    </row>
    <row r="10">
      <c r="A10" s="2" t="inlineStr">
        <is>
          <t>Dotation annuelle pleine</t>
        </is>
      </c>
      <c r="B10" s="3">
        <f>IF(B5=0,0,B9/B5)</f>
        <v/>
      </c>
    </row>
    <row r="11">
      <c r="A11" s="2" t="inlineStr">
        <is>
          <t>Prorata année 1 (fraction)</t>
        </is>
      </c>
      <c r="B11" s="6">
        <f>(360-((MONTH(B6)-1)*30+(DAY(B6)-1)))/360</f>
        <v/>
      </c>
    </row>
    <row r="13">
      <c r="A13" s="7" t="inlineStr">
        <is>
          <t>Note : pour la méthode DÉGRESSIVE, utiliser le script amortissement.py</t>
        </is>
      </c>
    </row>
    <row r="14">
      <c r="A14" s="7" t="inlineStr">
        <is>
          <t>ou l'assistant (le dégressif n'est pas calculé par ce template linéaire).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8" t="inlineStr">
        <is>
          <t>Exercice</t>
        </is>
      </c>
      <c r="B1" s="8" t="inlineStr">
        <is>
          <t>Base amortissable</t>
        </is>
      </c>
      <c r="C1" s="8" t="inlineStr">
        <is>
          <t>Dotation</t>
        </is>
      </c>
      <c r="D1" s="8" t="inlineStr">
        <is>
          <t>Cumul</t>
        </is>
      </c>
      <c r="E1" s="8" t="inlineStr">
        <is>
          <t>VNC</t>
        </is>
      </c>
      <c r="F1" s="8" t="inlineStr">
        <is>
          <t>Prorata appliqué</t>
        </is>
      </c>
    </row>
    <row r="2">
      <c r="A2">
        <f>YEAR(Parametres!$B$6)</f>
        <v/>
      </c>
      <c r="B2" s="3">
        <f>Parametres!$B$9</f>
        <v/>
      </c>
      <c r="C2" s="3">
        <f>IF(Parametres!$B$9&lt;=0,0,ROUND(MIN(Parametres!$B$10*Parametres!$B$11,Parametres!$B$9),2))</f>
        <v/>
      </c>
      <c r="D2" s="3">
        <f>C2</f>
        <v/>
      </c>
      <c r="E2" s="3">
        <f>Parametres!$B$3-D2</f>
        <v/>
      </c>
      <c r="F2" s="6">
        <f>Parametres!$B$11</f>
        <v/>
      </c>
    </row>
    <row r="3">
      <c r="A3">
        <f>A2+1</f>
        <v/>
      </c>
      <c r="B3" s="3">
        <f>Parametres!$B$9</f>
        <v/>
      </c>
      <c r="C3" s="3">
        <f>IF((Parametres!$B$9-D2)&lt;=0,0,ROUND(MIN(Parametres!$B$10,Parametres!$B$9-D2),2))</f>
        <v/>
      </c>
      <c r="D3" s="3">
        <f>D2+C3</f>
        <v/>
      </c>
      <c r="E3" s="3">
        <f>Parametres!$B$3-D3</f>
        <v/>
      </c>
      <c r="F3">
        <f>IF(C3=0,"",1)</f>
        <v/>
      </c>
    </row>
    <row r="4">
      <c r="A4">
        <f>A3+1</f>
        <v/>
      </c>
      <c r="B4" s="3">
        <f>Parametres!$B$9</f>
        <v/>
      </c>
      <c r="C4" s="3">
        <f>IF((Parametres!$B$9-D3)&lt;=0,0,ROUND(MIN(Parametres!$B$10,Parametres!$B$9-D3),2))</f>
        <v/>
      </c>
      <c r="D4" s="3">
        <f>D3+C4</f>
        <v/>
      </c>
      <c r="E4" s="3">
        <f>Parametres!$B$3-D4</f>
        <v/>
      </c>
      <c r="F4">
        <f>IF(C4=0,"",1)</f>
        <v/>
      </c>
    </row>
    <row r="5">
      <c r="A5">
        <f>A4+1</f>
        <v/>
      </c>
      <c r="B5" s="3">
        <f>Parametres!$B$9</f>
        <v/>
      </c>
      <c r="C5" s="3">
        <f>IF((Parametres!$B$9-D4)&lt;=0,0,ROUND(MIN(Parametres!$B$10,Parametres!$B$9-D4),2))</f>
        <v/>
      </c>
      <c r="D5" s="3">
        <f>D4+C5</f>
        <v/>
      </c>
      <c r="E5" s="3">
        <f>Parametres!$B$3-D5</f>
        <v/>
      </c>
      <c r="F5">
        <f>IF(C5=0,"",1)</f>
        <v/>
      </c>
    </row>
    <row r="6">
      <c r="A6">
        <f>A5+1</f>
        <v/>
      </c>
      <c r="B6" s="3">
        <f>Parametres!$B$9</f>
        <v/>
      </c>
      <c r="C6" s="3">
        <f>IF((Parametres!$B$9-D5)&lt;=0,0,ROUND(MIN(Parametres!$B$10,Parametres!$B$9-D5),2))</f>
        <v/>
      </c>
      <c r="D6" s="3">
        <f>D5+C6</f>
        <v/>
      </c>
      <c r="E6" s="3">
        <f>Parametres!$B$3-D6</f>
        <v/>
      </c>
      <c r="F6">
        <f>IF(C6=0,"",1)</f>
        <v/>
      </c>
    </row>
    <row r="7">
      <c r="A7">
        <f>A6+1</f>
        <v/>
      </c>
      <c r="B7" s="3">
        <f>Parametres!$B$9</f>
        <v/>
      </c>
      <c r="C7" s="3">
        <f>IF((Parametres!$B$9-D6)&lt;=0,0,ROUND(MIN(Parametres!$B$10,Parametres!$B$9-D6),2))</f>
        <v/>
      </c>
      <c r="D7" s="3">
        <f>D6+C7</f>
        <v/>
      </c>
      <c r="E7" s="3">
        <f>Parametres!$B$3-D7</f>
        <v/>
      </c>
      <c r="F7">
        <f>IF(C7=0,"",1)</f>
        <v/>
      </c>
    </row>
    <row r="8">
      <c r="A8">
        <f>A7+1</f>
        <v/>
      </c>
      <c r="B8" s="3">
        <f>Parametres!$B$9</f>
        <v/>
      </c>
      <c r="C8" s="3">
        <f>IF((Parametres!$B$9-D7)&lt;=0,0,ROUND(MIN(Parametres!$B$10,Parametres!$B$9-D7),2))</f>
        <v/>
      </c>
      <c r="D8" s="3">
        <f>D7+C8</f>
        <v/>
      </c>
      <c r="E8" s="3">
        <f>Parametres!$B$3-D8</f>
        <v/>
      </c>
      <c r="F8">
        <f>IF(C8=0,"",1)</f>
        <v/>
      </c>
    </row>
    <row r="9">
      <c r="A9">
        <f>A8+1</f>
        <v/>
      </c>
      <c r="B9" s="3">
        <f>Parametres!$B$9</f>
        <v/>
      </c>
      <c r="C9" s="3">
        <f>IF((Parametres!$B$9-D8)&lt;=0,0,ROUND(MIN(Parametres!$B$10,Parametres!$B$9-D8),2))</f>
        <v/>
      </c>
      <c r="D9" s="3">
        <f>D8+C9</f>
        <v/>
      </c>
      <c r="E9" s="3">
        <f>Parametres!$B$3-D9</f>
        <v/>
      </c>
      <c r="F9">
        <f>IF(C9=0,"",1)</f>
        <v/>
      </c>
    </row>
    <row r="10">
      <c r="A10">
        <f>A9+1</f>
        <v/>
      </c>
      <c r="B10" s="3">
        <f>Parametres!$B$9</f>
        <v/>
      </c>
      <c r="C10" s="3">
        <f>IF((Parametres!$B$9-D9)&lt;=0,0,ROUND(MIN(Parametres!$B$10,Parametres!$B$9-D9),2))</f>
        <v/>
      </c>
      <c r="D10" s="3">
        <f>D9+C10</f>
        <v/>
      </c>
      <c r="E10" s="3">
        <f>Parametres!$B$3-D10</f>
        <v/>
      </c>
      <c r="F10">
        <f>IF(C10=0,"",1)</f>
        <v/>
      </c>
    </row>
    <row r="11">
      <c r="A11">
        <f>A10+1</f>
        <v/>
      </c>
      <c r="B11" s="3">
        <f>Parametres!$B$9</f>
        <v/>
      </c>
      <c r="C11" s="3">
        <f>IF((Parametres!$B$9-D10)&lt;=0,0,ROUND(MIN(Parametres!$B$10,Parametres!$B$9-D10),2))</f>
        <v/>
      </c>
      <c r="D11" s="3">
        <f>D10+C11</f>
        <v/>
      </c>
      <c r="E11" s="3">
        <f>Parametres!$B$3-D11</f>
        <v/>
      </c>
      <c r="F11">
        <f>IF(C11=0,"",1)</f>
        <v/>
      </c>
    </row>
    <row r="12">
      <c r="A12">
        <f>A11+1</f>
        <v/>
      </c>
      <c r="B12" s="3">
        <f>Parametres!$B$9</f>
        <v/>
      </c>
      <c r="C12" s="3">
        <f>IF((Parametres!$B$9-D11)&lt;=0,0,ROUND(MIN(Parametres!$B$10,Parametres!$B$9-D11),2))</f>
        <v/>
      </c>
      <c r="D12" s="3">
        <f>D11+C12</f>
        <v/>
      </c>
      <c r="E12" s="3">
        <f>Parametres!$B$3-D12</f>
        <v/>
      </c>
      <c r="F12">
        <f>IF(C12=0,"",1)</f>
        <v/>
      </c>
    </row>
    <row r="13">
      <c r="A13">
        <f>A12+1</f>
        <v/>
      </c>
      <c r="B13" s="3">
        <f>Parametres!$B$9</f>
        <v/>
      </c>
      <c r="C13" s="3">
        <f>IF((Parametres!$B$9-D12)&lt;=0,0,ROUND(MIN(Parametres!$B$10,Parametres!$B$9-D12),2))</f>
        <v/>
      </c>
      <c r="D13" s="3">
        <f>D12+C13</f>
        <v/>
      </c>
      <c r="E13" s="3">
        <f>Parametres!$B$3-D13</f>
        <v/>
      </c>
      <c r="F13">
        <f>IF(C13=0,"",1)</f>
        <v/>
      </c>
    </row>
    <row r="14">
      <c r="A14">
        <f>A13+1</f>
        <v/>
      </c>
      <c r="B14" s="3">
        <f>Parametres!$B$9</f>
        <v/>
      </c>
      <c r="C14" s="3">
        <f>IF((Parametres!$B$9-D13)&lt;=0,0,ROUND(MIN(Parametres!$B$10,Parametres!$B$9-D13),2))</f>
        <v/>
      </c>
      <c r="D14" s="3">
        <f>D13+C14</f>
        <v/>
      </c>
      <c r="E14" s="3">
        <f>Parametres!$B$3-D14</f>
        <v/>
      </c>
      <c r="F14">
        <f>IF(C14=0,"",1)</f>
        <v/>
      </c>
    </row>
    <row r="15">
      <c r="A15">
        <f>A14+1</f>
        <v/>
      </c>
      <c r="B15" s="3">
        <f>Parametres!$B$9</f>
        <v/>
      </c>
      <c r="C15" s="3">
        <f>IF((Parametres!$B$9-D14)&lt;=0,0,ROUND(MIN(Parametres!$B$10,Parametres!$B$9-D14),2))</f>
        <v/>
      </c>
      <c r="D15" s="3">
        <f>D14+C15</f>
        <v/>
      </c>
      <c r="E15" s="3">
        <f>Parametres!$B$3-D15</f>
        <v/>
      </c>
      <c r="F15">
        <f>IF(C15=0,"",1)</f>
        <v/>
      </c>
    </row>
    <row r="16">
      <c r="A16">
        <f>A15+1</f>
        <v/>
      </c>
      <c r="B16" s="3">
        <f>Parametres!$B$9</f>
        <v/>
      </c>
      <c r="C16" s="3">
        <f>IF((Parametres!$B$9-D15)&lt;=0,0,ROUND(MIN(Parametres!$B$10,Parametres!$B$9-D15),2))</f>
        <v/>
      </c>
      <c r="D16" s="3">
        <f>D15+C16</f>
        <v/>
      </c>
      <c r="E16" s="3">
        <f>Parametres!$B$3-D16</f>
        <v/>
      </c>
      <c r="F16">
        <f>IF(C16=0,"",1)</f>
        <v/>
      </c>
    </row>
    <row r="17">
      <c r="A17">
        <f>A16+1</f>
        <v/>
      </c>
      <c r="B17" s="3">
        <f>Parametres!$B$9</f>
        <v/>
      </c>
      <c r="C17" s="3">
        <f>IF((Parametres!$B$9-D16)&lt;=0,0,ROUND(MIN(Parametres!$B$10,Parametres!$B$9-D16),2))</f>
        <v/>
      </c>
      <c r="D17" s="3">
        <f>D16+C17</f>
        <v/>
      </c>
      <c r="E17" s="3">
        <f>Parametres!$B$3-D17</f>
        <v/>
      </c>
      <c r="F17">
        <f>IF(C17=0,"",1)</f>
        <v/>
      </c>
    </row>
    <row r="18">
      <c r="A18">
        <f>A17+1</f>
        <v/>
      </c>
      <c r="B18" s="3">
        <f>Parametres!$B$9</f>
        <v/>
      </c>
      <c r="C18" s="3">
        <f>IF((Parametres!$B$9-D17)&lt;=0,0,ROUND(MIN(Parametres!$B$10,Parametres!$B$9-D17),2))</f>
        <v/>
      </c>
      <c r="D18" s="3">
        <f>D17+C18</f>
        <v/>
      </c>
      <c r="E18" s="3">
        <f>Parametres!$B$3-D18</f>
        <v/>
      </c>
      <c r="F18">
        <f>IF(C18=0,"",1)</f>
        <v/>
      </c>
    </row>
    <row r="19">
      <c r="A19">
        <f>A18+1</f>
        <v/>
      </c>
      <c r="B19" s="3">
        <f>Parametres!$B$9</f>
        <v/>
      </c>
      <c r="C19" s="3">
        <f>IF((Parametres!$B$9-D18)&lt;=0,0,ROUND(MIN(Parametres!$B$10,Parametres!$B$9-D18),2))</f>
        <v/>
      </c>
      <c r="D19" s="3">
        <f>D18+C19</f>
        <v/>
      </c>
      <c r="E19" s="3">
        <f>Parametres!$B$3-D19</f>
        <v/>
      </c>
      <c r="F19">
        <f>IF(C19=0,"",1)</f>
        <v/>
      </c>
    </row>
    <row r="20">
      <c r="A20">
        <f>A19+1</f>
        <v/>
      </c>
      <c r="B20" s="3">
        <f>Parametres!$B$9</f>
        <v/>
      </c>
      <c r="C20" s="3">
        <f>IF((Parametres!$B$9-D19)&lt;=0,0,ROUND(MIN(Parametres!$B$10,Parametres!$B$9-D19),2))</f>
        <v/>
      </c>
      <c r="D20" s="3">
        <f>D19+C20</f>
        <v/>
      </c>
      <c r="E20" s="3">
        <f>Parametres!$B$3-D20</f>
        <v/>
      </c>
      <c r="F20">
        <f>IF(C20=0,"",1)</f>
        <v/>
      </c>
    </row>
    <row r="21">
      <c r="A21">
        <f>A20+1</f>
        <v/>
      </c>
      <c r="B21" s="3">
        <f>Parametres!$B$9</f>
        <v/>
      </c>
      <c r="C21" s="3">
        <f>IF((Parametres!$B$9-D20)&lt;=0,0,ROUND(MIN(Parametres!$B$10,Parametres!$B$9-D20),2))</f>
        <v/>
      </c>
      <c r="D21" s="3">
        <f>D20+C21</f>
        <v/>
      </c>
      <c r="E21" s="3">
        <f>Parametres!$B$3-D21</f>
        <v/>
      </c>
      <c r="F21">
        <f>IF(C21=0,"",1)</f>
        <v/>
      </c>
    </row>
    <row r="23">
      <c r="B23" s="2" t="inlineStr">
        <is>
          <t>Total dotations</t>
        </is>
      </c>
      <c r="C23" s="9">
        <f>SUM(C2:C21)</f>
        <v/>
      </c>
    </row>
    <row r="24">
      <c r="B24" s="2" t="inlineStr">
        <is>
          <t>Contrôle (=base ?)</t>
        </is>
      </c>
      <c r="C24">
        <f>IF(ROUND(C23-Parametres!$B$9,2)=0,"OK","ÉCART")</f>
        <v/>
      </c>
    </row>
    <row r="25">
      <c r="B25" s="2" t="inlineStr">
        <is>
          <t>VNC finale (=VR ?)</t>
        </is>
      </c>
      <c r="C25" s="3">
        <f>E21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2026-07-02T08:00:14Z</dcterms:created>
  <dcterms:modified xmlns:dcterms="http://purl.org/dc/terms/" xmlns:xsi="http://www.w3.org/2001/XMLSchema-instance" xsi:type="dcterms:W3CDTF">2026-07-02T08:00:14Z</dcterms:modified>
</cp:coreProperties>
</file>