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C00000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15" customWidth="1" min="6" max="6"/>
    <col width="15" customWidth="1" min="7" max="7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REGISTRE D'IMMOBILISATIONS — Exercice N =</t>
        </is>
      </c>
      <c r="C1" s="2" t="n">
        <v>2025</v>
      </c>
    </row>
    <row r="3">
      <c r="A3" s="3" t="inlineStr">
        <is>
          <t>Désignation</t>
        </is>
      </c>
      <c r="B3" s="3" t="inlineStr">
        <is>
          <t>Catégorie</t>
        </is>
      </c>
      <c r="C3" s="3" t="inlineStr">
        <is>
          <t>Valeur origine</t>
        </is>
      </c>
      <c r="D3" s="3" t="inlineStr">
        <is>
          <t>Date service</t>
        </is>
      </c>
      <c r="E3" s="3" t="inlineStr">
        <is>
          <t>Durée</t>
        </is>
      </c>
      <c r="F3" s="3" t="inlineStr">
        <is>
          <t>Val. résiduelle</t>
        </is>
      </c>
      <c r="G3" s="3" t="inlineStr">
        <is>
          <t>Annuité</t>
        </is>
      </c>
      <c r="H3" s="3" t="inlineStr">
        <is>
          <t>Prorata1</t>
        </is>
      </c>
      <c r="I3" s="3" t="inlineStr">
        <is>
          <t>Année0</t>
        </is>
      </c>
      <c r="J3" s="3" t="inlineStr">
        <is>
          <t>Cumul N-1</t>
        </is>
      </c>
      <c r="K3" s="3" t="inlineStr">
        <is>
          <t>Dotation N</t>
        </is>
      </c>
      <c r="L3" s="3" t="inlineStr">
        <is>
          <t>Cumul N</t>
        </is>
      </c>
      <c r="M3" s="3" t="inlineStr">
        <is>
          <t>VNC N</t>
        </is>
      </c>
    </row>
    <row r="4">
      <c r="A4" t="inlineStr">
        <is>
          <t>Pelle hydraulique</t>
        </is>
      </c>
      <c r="B4" t="inlineStr">
        <is>
          <t>Matériel de transport</t>
        </is>
      </c>
      <c r="C4" s="4" t="n">
        <v>120000000</v>
      </c>
      <c r="D4" s="5" t="n">
        <v>45031</v>
      </c>
      <c r="E4" t="n">
        <v>5</v>
      </c>
      <c r="F4" s="4" t="n"/>
      <c r="G4" s="4">
        <f>IF($E4=0,0,($C4-$F4)/$E4)</f>
        <v/>
      </c>
      <c r="H4" s="6">
        <f>IF($D4="","",(360-((MONTH($D4)-1)*30+(DAY($D4)-1)))/360)</f>
        <v/>
      </c>
      <c r="I4">
        <f>IF($D4="","",YEAR($D4))</f>
        <v/>
      </c>
      <c r="J4" s="4">
        <f>IF($D4="","",ROUND($G4*MIN($E4,MAX(0,(($C$1-1)-$I4)+$H4)),2))</f>
        <v/>
      </c>
      <c r="K4" s="4">
        <f>IF($D4="","",ROUND($G4*MIN($E4,MAX(0,($C$1-$I4)+$H4)),2)-$J4)</f>
        <v/>
      </c>
      <c r="L4" s="4">
        <f>IF($D4="","",$J4+$K4)</f>
        <v/>
      </c>
      <c r="M4" s="4">
        <f>IF($D4="","",$C4-$L4)</f>
        <v/>
      </c>
    </row>
    <row r="5">
      <c r="A5" t="inlineStr">
        <is>
          <t>Camion benne</t>
        </is>
      </c>
      <c r="B5" t="inlineStr">
        <is>
          <t>Matériel de transport</t>
        </is>
      </c>
      <c r="C5" s="4" t="n">
        <v>45000000</v>
      </c>
      <c r="D5" s="5" t="n">
        <v>45474</v>
      </c>
      <c r="E5" t="n">
        <v>4</v>
      </c>
      <c r="F5" s="4" t="n"/>
      <c r="G5" s="4">
        <f>IF($E5=0,0,($C5-$F5)/$E5)</f>
        <v/>
      </c>
      <c r="H5" s="6">
        <f>IF($D5="","",(360-((MONTH($D5)-1)*30+(DAY($D5)-1)))/360)</f>
        <v/>
      </c>
      <c r="I5">
        <f>IF($D5="","",YEAR($D5))</f>
        <v/>
      </c>
      <c r="J5" s="4">
        <f>IF($D5="","",ROUND($G5*MIN($E5,MAX(0,(($C$1-1)-$I5)+$H5)),2))</f>
        <v/>
      </c>
      <c r="K5" s="4">
        <f>IF($D5="","",ROUND($G5*MIN($E5,MAX(0,($C$1-$I5)+$H5)),2)-$J5)</f>
        <v/>
      </c>
      <c r="L5" s="4">
        <f>IF($D5="","",$J5+$K5)</f>
        <v/>
      </c>
      <c r="M5" s="4">
        <f>IF($D5="","",$C5-$L5)</f>
        <v/>
      </c>
    </row>
    <row r="6">
      <c r="C6" s="4" t="n"/>
      <c r="D6" s="5" t="n"/>
      <c r="F6" s="4" t="n"/>
      <c r="G6" s="4">
        <f>IF($E6=0,0,($C6-$F6)/$E6)</f>
        <v/>
      </c>
      <c r="H6" s="6">
        <f>IF($D6="","",(360-((MONTH($D6)-1)*30+(DAY($D6)-1)))/360)</f>
        <v/>
      </c>
      <c r="I6">
        <f>IF($D6="","",YEAR($D6))</f>
        <v/>
      </c>
      <c r="J6" s="4">
        <f>IF($D6="","",ROUND($G6*MIN($E6,MAX(0,(($C$1-1)-$I6)+$H6)),2))</f>
        <v/>
      </c>
      <c r="K6" s="4">
        <f>IF($D6="","",ROUND($G6*MIN($E6,MAX(0,($C$1-$I6)+$H6)),2)-$J6)</f>
        <v/>
      </c>
      <c r="L6" s="4">
        <f>IF($D6="","",$J6+$K6)</f>
        <v/>
      </c>
      <c r="M6" s="4">
        <f>IF($D6="","",$C6-$L6)</f>
        <v/>
      </c>
    </row>
    <row r="7">
      <c r="C7" s="4" t="n"/>
      <c r="D7" s="5" t="n"/>
      <c r="F7" s="4" t="n"/>
      <c r="G7" s="4">
        <f>IF($E7=0,0,($C7-$F7)/$E7)</f>
        <v/>
      </c>
      <c r="H7" s="6">
        <f>IF($D7="","",(360-((MONTH($D7)-1)*30+(DAY($D7)-1)))/360)</f>
        <v/>
      </c>
      <c r="I7">
        <f>IF($D7="","",YEAR($D7))</f>
        <v/>
      </c>
      <c r="J7" s="4">
        <f>IF($D7="","",ROUND($G7*MIN($E7,MAX(0,(($C$1-1)-$I7)+$H7)),2))</f>
        <v/>
      </c>
      <c r="K7" s="4">
        <f>IF($D7="","",ROUND($G7*MIN($E7,MAX(0,($C$1-$I7)+$H7)),2)-$J7)</f>
        <v/>
      </c>
      <c r="L7" s="4">
        <f>IF($D7="","",$J7+$K7)</f>
        <v/>
      </c>
      <c r="M7" s="4">
        <f>IF($D7="","",$C7-$L7)</f>
        <v/>
      </c>
    </row>
    <row r="8">
      <c r="C8" s="4" t="n"/>
      <c r="D8" s="5" t="n"/>
      <c r="F8" s="4" t="n"/>
      <c r="G8" s="4">
        <f>IF($E8=0,0,($C8-$F8)/$E8)</f>
        <v/>
      </c>
      <c r="H8" s="6">
        <f>IF($D8="","",(360-((MONTH($D8)-1)*30+(DAY($D8)-1)))/360)</f>
        <v/>
      </c>
      <c r="I8">
        <f>IF($D8="","",YEAR($D8))</f>
        <v/>
      </c>
      <c r="J8" s="4">
        <f>IF($D8="","",ROUND($G8*MIN($E8,MAX(0,(($C$1-1)-$I8)+$H8)),2))</f>
        <v/>
      </c>
      <c r="K8" s="4">
        <f>IF($D8="","",ROUND($G8*MIN($E8,MAX(0,($C$1-$I8)+$H8)),2)-$J8)</f>
        <v/>
      </c>
      <c r="L8" s="4">
        <f>IF($D8="","",$J8+$K8)</f>
        <v/>
      </c>
      <c r="M8" s="4">
        <f>IF($D8="","",$C8-$L8)</f>
        <v/>
      </c>
    </row>
    <row r="9">
      <c r="C9" s="4" t="n"/>
      <c r="D9" s="5" t="n"/>
      <c r="F9" s="4" t="n"/>
      <c r="G9" s="4">
        <f>IF($E9=0,0,($C9-$F9)/$E9)</f>
        <v/>
      </c>
      <c r="H9" s="6">
        <f>IF($D9="","",(360-((MONTH($D9)-1)*30+(DAY($D9)-1)))/360)</f>
        <v/>
      </c>
      <c r="I9">
        <f>IF($D9="","",YEAR($D9))</f>
        <v/>
      </c>
      <c r="J9" s="4">
        <f>IF($D9="","",ROUND($G9*MIN($E9,MAX(0,(($C$1-1)-$I9)+$H9)),2))</f>
        <v/>
      </c>
      <c r="K9" s="4">
        <f>IF($D9="","",ROUND($G9*MIN($E9,MAX(0,($C$1-$I9)+$H9)),2)-$J9)</f>
        <v/>
      </c>
      <c r="L9" s="4">
        <f>IF($D9="","",$J9+$K9)</f>
        <v/>
      </c>
      <c r="M9" s="4">
        <f>IF($D9="","",$C9-$L9)</f>
        <v/>
      </c>
    </row>
    <row r="10">
      <c r="C10" s="4" t="n"/>
      <c r="D10" s="5" t="n"/>
      <c r="F10" s="4" t="n"/>
      <c r="G10" s="4">
        <f>IF($E10=0,0,($C10-$F10)/$E10)</f>
        <v/>
      </c>
      <c r="H10" s="6">
        <f>IF($D10="","",(360-((MONTH($D10)-1)*30+(DAY($D10)-1)))/360)</f>
        <v/>
      </c>
      <c r="I10">
        <f>IF($D10="","",YEAR($D10))</f>
        <v/>
      </c>
      <c r="J10" s="4">
        <f>IF($D10="","",ROUND($G10*MIN($E10,MAX(0,(($C$1-1)-$I10)+$H10)),2))</f>
        <v/>
      </c>
      <c r="K10" s="4">
        <f>IF($D10="","",ROUND($G10*MIN($E10,MAX(0,($C$1-$I10)+$H10)),2)-$J10)</f>
        <v/>
      </c>
      <c r="L10" s="4">
        <f>IF($D10="","",$J10+$K10)</f>
        <v/>
      </c>
      <c r="M10" s="4">
        <f>IF($D10="","",$C10-$L10)</f>
        <v/>
      </c>
    </row>
    <row r="11">
      <c r="C11" s="4" t="n"/>
      <c r="D11" s="5" t="n"/>
      <c r="F11" s="4" t="n"/>
      <c r="G11" s="4">
        <f>IF($E11=0,0,($C11-$F11)/$E11)</f>
        <v/>
      </c>
      <c r="H11" s="6">
        <f>IF($D11="","",(360-((MONTH($D11)-1)*30+(DAY($D11)-1)))/360)</f>
        <v/>
      </c>
      <c r="I11">
        <f>IF($D11="","",YEAR($D11))</f>
        <v/>
      </c>
      <c r="J11" s="4">
        <f>IF($D11="","",ROUND($G11*MIN($E11,MAX(0,(($C$1-1)-$I11)+$H11)),2))</f>
        <v/>
      </c>
      <c r="K11" s="4">
        <f>IF($D11="","",ROUND($G11*MIN($E11,MAX(0,($C$1-$I11)+$H11)),2)-$J11)</f>
        <v/>
      </c>
      <c r="L11" s="4">
        <f>IF($D11="","",$J11+$K11)</f>
        <v/>
      </c>
      <c r="M11" s="4">
        <f>IF($D11="","",$C11-$L11)</f>
        <v/>
      </c>
    </row>
    <row r="12">
      <c r="C12" s="4" t="n"/>
      <c r="D12" s="5" t="n"/>
      <c r="F12" s="4" t="n"/>
      <c r="G12" s="4">
        <f>IF($E12=0,0,($C12-$F12)/$E12)</f>
        <v/>
      </c>
      <c r="H12" s="6">
        <f>IF($D12="","",(360-((MONTH($D12)-1)*30+(DAY($D12)-1)))/360)</f>
        <v/>
      </c>
      <c r="I12">
        <f>IF($D12="","",YEAR($D12))</f>
        <v/>
      </c>
      <c r="J12" s="4">
        <f>IF($D12="","",ROUND($G12*MIN($E12,MAX(0,(($C$1-1)-$I12)+$H12)),2))</f>
        <v/>
      </c>
      <c r="K12" s="4">
        <f>IF($D12="","",ROUND($G12*MIN($E12,MAX(0,($C$1-$I12)+$H12)),2)-$J12)</f>
        <v/>
      </c>
      <c r="L12" s="4">
        <f>IF($D12="","",$J12+$K12)</f>
        <v/>
      </c>
      <c r="M12" s="4">
        <f>IF($D12="","",$C12-$L12)</f>
        <v/>
      </c>
    </row>
    <row r="13">
      <c r="C13" s="4" t="n"/>
      <c r="D13" s="5" t="n"/>
      <c r="F13" s="4" t="n"/>
      <c r="G13" s="4">
        <f>IF($E13=0,0,($C13-$F13)/$E13)</f>
        <v/>
      </c>
      <c r="H13" s="6">
        <f>IF($D13="","",(360-((MONTH($D13)-1)*30+(DAY($D13)-1)))/360)</f>
        <v/>
      </c>
      <c r="I13">
        <f>IF($D13="","",YEAR($D13))</f>
        <v/>
      </c>
      <c r="J13" s="4">
        <f>IF($D13="","",ROUND($G13*MIN($E13,MAX(0,(($C$1-1)-$I13)+$H13)),2))</f>
        <v/>
      </c>
      <c r="K13" s="4">
        <f>IF($D13="","",ROUND($G13*MIN($E13,MAX(0,($C$1-$I13)+$H13)),2)-$J13)</f>
        <v/>
      </c>
      <c r="L13" s="4">
        <f>IF($D13="","",$J13+$K13)</f>
        <v/>
      </c>
      <c r="M13" s="4">
        <f>IF($D13="","",$C13-$L13)</f>
        <v/>
      </c>
    </row>
    <row r="14">
      <c r="C14" s="4" t="n"/>
      <c r="D14" s="5" t="n"/>
      <c r="F14" s="4" t="n"/>
      <c r="G14" s="4">
        <f>IF($E14=0,0,($C14-$F14)/$E14)</f>
        <v/>
      </c>
      <c r="H14" s="6">
        <f>IF($D14="","",(360-((MONTH($D14)-1)*30+(DAY($D14)-1)))/360)</f>
        <v/>
      </c>
      <c r="I14">
        <f>IF($D14="","",YEAR($D14))</f>
        <v/>
      </c>
      <c r="J14" s="4">
        <f>IF($D14="","",ROUND($G14*MIN($E14,MAX(0,(($C$1-1)-$I14)+$H14)),2))</f>
        <v/>
      </c>
      <c r="K14" s="4">
        <f>IF($D14="","",ROUND($G14*MIN($E14,MAX(0,($C$1-$I14)+$H14)),2)-$J14)</f>
        <v/>
      </c>
      <c r="L14" s="4">
        <f>IF($D14="","",$J14+$K14)</f>
        <v/>
      </c>
      <c r="M14" s="4">
        <f>IF($D14="","",$C14-$L14)</f>
        <v/>
      </c>
    </row>
    <row r="15">
      <c r="C15" s="4" t="n"/>
      <c r="D15" s="5" t="n"/>
      <c r="F15" s="4" t="n"/>
      <c r="G15" s="4">
        <f>IF($E15=0,0,($C15-$F15)/$E15)</f>
        <v/>
      </c>
      <c r="H15" s="6">
        <f>IF($D15="","",(360-((MONTH($D15)-1)*30+(DAY($D15)-1)))/360)</f>
        <v/>
      </c>
      <c r="I15">
        <f>IF($D15="","",YEAR($D15))</f>
        <v/>
      </c>
      <c r="J15" s="4">
        <f>IF($D15="","",ROUND($G15*MIN($E15,MAX(0,(($C$1-1)-$I15)+$H15)),2))</f>
        <v/>
      </c>
      <c r="K15" s="4">
        <f>IF($D15="","",ROUND($G15*MIN($E15,MAX(0,($C$1-$I15)+$H15)),2)-$J15)</f>
        <v/>
      </c>
      <c r="L15" s="4">
        <f>IF($D15="","",$J15+$K15)</f>
        <v/>
      </c>
      <c r="M15" s="4">
        <f>IF($D15="","",$C15-$L15)</f>
        <v/>
      </c>
    </row>
    <row r="16">
      <c r="C16" s="4" t="n"/>
      <c r="D16" s="5" t="n"/>
      <c r="F16" s="4" t="n"/>
      <c r="G16" s="4">
        <f>IF($E16=0,0,($C16-$F16)/$E16)</f>
        <v/>
      </c>
      <c r="H16" s="6">
        <f>IF($D16="","",(360-((MONTH($D16)-1)*30+(DAY($D16)-1)))/360)</f>
        <v/>
      </c>
      <c r="I16">
        <f>IF($D16="","",YEAR($D16))</f>
        <v/>
      </c>
      <c r="J16" s="4">
        <f>IF($D16="","",ROUND($G16*MIN($E16,MAX(0,(($C$1-1)-$I16)+$H16)),2))</f>
        <v/>
      </c>
      <c r="K16" s="4">
        <f>IF($D16="","",ROUND($G16*MIN($E16,MAX(0,($C$1-$I16)+$H16)),2)-$J16)</f>
        <v/>
      </c>
      <c r="L16" s="4">
        <f>IF($D16="","",$J16+$K16)</f>
        <v/>
      </c>
      <c r="M16" s="4">
        <f>IF($D16="","",$C16-$L16)</f>
        <v/>
      </c>
    </row>
    <row r="17">
      <c r="C17" s="4" t="n"/>
      <c r="D17" s="5" t="n"/>
      <c r="F17" s="4" t="n"/>
      <c r="G17" s="4">
        <f>IF($E17=0,0,($C17-$F17)/$E17)</f>
        <v/>
      </c>
      <c r="H17" s="6">
        <f>IF($D17="","",(360-((MONTH($D17)-1)*30+(DAY($D17)-1)))/360)</f>
        <v/>
      </c>
      <c r="I17">
        <f>IF($D17="","",YEAR($D17))</f>
        <v/>
      </c>
      <c r="J17" s="4">
        <f>IF($D17="","",ROUND($G17*MIN($E17,MAX(0,(($C$1-1)-$I17)+$H17)),2))</f>
        <v/>
      </c>
      <c r="K17" s="4">
        <f>IF($D17="","",ROUND($G17*MIN($E17,MAX(0,($C$1-$I17)+$H17)),2)-$J17)</f>
        <v/>
      </c>
      <c r="L17" s="4">
        <f>IF($D17="","",$J17+$K17)</f>
        <v/>
      </c>
      <c r="M17" s="4">
        <f>IF($D17="","",$C17-$L17)</f>
        <v/>
      </c>
    </row>
    <row r="18">
      <c r="C18" s="4" t="n"/>
      <c r="D18" s="5" t="n"/>
      <c r="F18" s="4" t="n"/>
      <c r="G18" s="4">
        <f>IF($E18=0,0,($C18-$F18)/$E18)</f>
        <v/>
      </c>
      <c r="H18" s="6">
        <f>IF($D18="","",(360-((MONTH($D18)-1)*30+(DAY($D18)-1)))/360)</f>
        <v/>
      </c>
      <c r="I18">
        <f>IF($D18="","",YEAR($D18))</f>
        <v/>
      </c>
      <c r="J18" s="4">
        <f>IF($D18="","",ROUND($G18*MIN($E18,MAX(0,(($C$1-1)-$I18)+$H18)),2))</f>
        <v/>
      </c>
      <c r="K18" s="4">
        <f>IF($D18="","",ROUND($G18*MIN($E18,MAX(0,($C$1-$I18)+$H18)),2)-$J18)</f>
        <v/>
      </c>
      <c r="L18" s="4">
        <f>IF($D18="","",$J18+$K18)</f>
        <v/>
      </c>
      <c r="M18" s="4">
        <f>IF($D18="","",$C18-$L18)</f>
        <v/>
      </c>
    </row>
    <row r="19">
      <c r="C19" s="4" t="n"/>
      <c r="D19" s="5" t="n"/>
      <c r="F19" s="4" t="n"/>
      <c r="G19" s="4">
        <f>IF($E19=0,0,($C19-$F19)/$E19)</f>
        <v/>
      </c>
      <c r="H19" s="6">
        <f>IF($D19="","",(360-((MONTH($D19)-1)*30+(DAY($D19)-1)))/360)</f>
        <v/>
      </c>
      <c r="I19">
        <f>IF($D19="","",YEAR($D19))</f>
        <v/>
      </c>
      <c r="J19" s="4">
        <f>IF($D19="","",ROUND($G19*MIN($E19,MAX(0,(($C$1-1)-$I19)+$H19)),2))</f>
        <v/>
      </c>
      <c r="K19" s="4">
        <f>IF($D19="","",ROUND($G19*MIN($E19,MAX(0,($C$1-$I19)+$H19)),2)-$J19)</f>
        <v/>
      </c>
      <c r="L19" s="4">
        <f>IF($D19="","",$J19+$K19)</f>
        <v/>
      </c>
      <c r="M19" s="4">
        <f>IF($D19="","",$C19-$L19)</f>
        <v/>
      </c>
    </row>
    <row r="20">
      <c r="C20" s="4" t="n"/>
      <c r="D20" s="5" t="n"/>
      <c r="F20" s="4" t="n"/>
      <c r="G20" s="4">
        <f>IF($E20=0,0,($C20-$F20)/$E20)</f>
        <v/>
      </c>
      <c r="H20" s="6">
        <f>IF($D20="","",(360-((MONTH($D20)-1)*30+(DAY($D20)-1)))/360)</f>
        <v/>
      </c>
      <c r="I20">
        <f>IF($D20="","",YEAR($D20))</f>
        <v/>
      </c>
      <c r="J20" s="4">
        <f>IF($D20="","",ROUND($G20*MIN($E20,MAX(0,(($C$1-1)-$I20)+$H20)),2))</f>
        <v/>
      </c>
      <c r="K20" s="4">
        <f>IF($D20="","",ROUND($G20*MIN($E20,MAX(0,($C$1-$I20)+$H20)),2)-$J20)</f>
        <v/>
      </c>
      <c r="L20" s="4">
        <f>IF($D20="","",$J20+$K20)</f>
        <v/>
      </c>
      <c r="M20" s="4">
        <f>IF($D20="","",$C20-$L20)</f>
        <v/>
      </c>
    </row>
    <row r="21">
      <c r="C21" s="4" t="n"/>
      <c r="D21" s="5" t="n"/>
      <c r="F21" s="4" t="n"/>
      <c r="G21" s="4">
        <f>IF($E21=0,0,($C21-$F21)/$E21)</f>
        <v/>
      </c>
      <c r="H21" s="6">
        <f>IF($D21="","",(360-((MONTH($D21)-1)*30+(DAY($D21)-1)))/360)</f>
        <v/>
      </c>
      <c r="I21">
        <f>IF($D21="","",YEAR($D21))</f>
        <v/>
      </c>
      <c r="J21" s="4">
        <f>IF($D21="","",ROUND($G21*MIN($E21,MAX(0,(($C$1-1)-$I21)+$H21)),2))</f>
        <v/>
      </c>
      <c r="K21" s="4">
        <f>IF($D21="","",ROUND($G21*MIN($E21,MAX(0,($C$1-$I21)+$H21)),2)-$J21)</f>
        <v/>
      </c>
      <c r="L21" s="4">
        <f>IF($D21="","",$J21+$K21)</f>
        <v/>
      </c>
      <c r="M21" s="4">
        <f>IF($D21="","",$C21-$L21)</f>
        <v/>
      </c>
    </row>
    <row r="22">
      <c r="C22" s="4" t="n"/>
      <c r="D22" s="5" t="n"/>
      <c r="F22" s="4" t="n"/>
      <c r="G22" s="4">
        <f>IF($E22=0,0,($C22-$F22)/$E22)</f>
        <v/>
      </c>
      <c r="H22" s="6">
        <f>IF($D22="","",(360-((MONTH($D22)-1)*30+(DAY($D22)-1)))/360)</f>
        <v/>
      </c>
      <c r="I22">
        <f>IF($D22="","",YEAR($D22))</f>
        <v/>
      </c>
      <c r="J22" s="4">
        <f>IF($D22="","",ROUND($G22*MIN($E22,MAX(0,(($C$1-1)-$I22)+$H22)),2))</f>
        <v/>
      </c>
      <c r="K22" s="4">
        <f>IF($D22="","",ROUND($G22*MIN($E22,MAX(0,($C$1-$I22)+$H22)),2)-$J22)</f>
        <v/>
      </c>
      <c r="L22" s="4">
        <f>IF($D22="","",$J22+$K22)</f>
        <v/>
      </c>
      <c r="M22" s="4">
        <f>IF($D22="","",$C22-$L22)</f>
        <v/>
      </c>
    </row>
    <row r="23">
      <c r="C23" s="4" t="n"/>
      <c r="D23" s="5" t="n"/>
      <c r="F23" s="4" t="n"/>
      <c r="G23" s="4">
        <f>IF($E23=0,0,($C23-$F23)/$E23)</f>
        <v/>
      </c>
      <c r="H23" s="6">
        <f>IF($D23="","",(360-((MONTH($D23)-1)*30+(DAY($D23)-1)))/360)</f>
        <v/>
      </c>
      <c r="I23">
        <f>IF($D23="","",YEAR($D23))</f>
        <v/>
      </c>
      <c r="J23" s="4">
        <f>IF($D23="","",ROUND($G23*MIN($E23,MAX(0,(($C$1-1)-$I23)+$H23)),2))</f>
        <v/>
      </c>
      <c r="K23" s="4">
        <f>IF($D23="","",ROUND($G23*MIN($E23,MAX(0,($C$1-$I23)+$H23)),2)-$J23)</f>
        <v/>
      </c>
      <c r="L23" s="4">
        <f>IF($D23="","",$J23+$K23)</f>
        <v/>
      </c>
      <c r="M23" s="4">
        <f>IF($D23="","",$C23-$L23)</f>
        <v/>
      </c>
    </row>
    <row r="24">
      <c r="C24" s="4" t="n"/>
      <c r="D24" s="5" t="n"/>
      <c r="F24" s="4" t="n"/>
      <c r="G24" s="4">
        <f>IF($E24=0,0,($C24-$F24)/$E24)</f>
        <v/>
      </c>
      <c r="H24" s="6">
        <f>IF($D24="","",(360-((MONTH($D24)-1)*30+(DAY($D24)-1)))/360)</f>
        <v/>
      </c>
      <c r="I24">
        <f>IF($D24="","",YEAR($D24))</f>
        <v/>
      </c>
      <c r="J24" s="4">
        <f>IF($D24="","",ROUND($G24*MIN($E24,MAX(0,(($C$1-1)-$I24)+$H24)),2))</f>
        <v/>
      </c>
      <c r="K24" s="4">
        <f>IF($D24="","",ROUND($G24*MIN($E24,MAX(0,($C$1-$I24)+$H24)),2)-$J24)</f>
        <v/>
      </c>
      <c r="L24" s="4">
        <f>IF($D24="","",$J24+$K24)</f>
        <v/>
      </c>
      <c r="M24" s="4">
        <f>IF($D24="","",$C24-$L24)</f>
        <v/>
      </c>
    </row>
    <row r="25">
      <c r="C25" s="4" t="n"/>
      <c r="D25" s="5" t="n"/>
      <c r="F25" s="4" t="n"/>
      <c r="G25" s="4">
        <f>IF($E25=0,0,($C25-$F25)/$E25)</f>
        <v/>
      </c>
      <c r="H25" s="6">
        <f>IF($D25="","",(360-((MONTH($D25)-1)*30+(DAY($D25)-1)))/360)</f>
        <v/>
      </c>
      <c r="I25">
        <f>IF($D25="","",YEAR($D25))</f>
        <v/>
      </c>
      <c r="J25" s="4">
        <f>IF($D25="","",ROUND($G25*MIN($E25,MAX(0,(($C$1-1)-$I25)+$H25)),2))</f>
        <v/>
      </c>
      <c r="K25" s="4">
        <f>IF($D25="","",ROUND($G25*MIN($E25,MAX(0,($C$1-$I25)+$H25)),2)-$J25)</f>
        <v/>
      </c>
      <c r="L25" s="4">
        <f>IF($D25="","",$J25+$K25)</f>
        <v/>
      </c>
      <c r="M25" s="4">
        <f>IF($D25="","",$C25-$L25)</f>
        <v/>
      </c>
    </row>
    <row r="26">
      <c r="C26" s="4" t="n"/>
      <c r="D26" s="5" t="n"/>
      <c r="F26" s="4" t="n"/>
      <c r="G26" s="4">
        <f>IF($E26=0,0,($C26-$F26)/$E26)</f>
        <v/>
      </c>
      <c r="H26" s="6">
        <f>IF($D26="","",(360-((MONTH($D26)-1)*30+(DAY($D26)-1)))/360)</f>
        <v/>
      </c>
      <c r="I26">
        <f>IF($D26="","",YEAR($D26))</f>
        <v/>
      </c>
      <c r="J26" s="4">
        <f>IF($D26="","",ROUND($G26*MIN($E26,MAX(0,(($C$1-1)-$I26)+$H26)),2))</f>
        <v/>
      </c>
      <c r="K26" s="4">
        <f>IF($D26="","",ROUND($G26*MIN($E26,MAX(0,($C$1-$I26)+$H26)),2)-$J26)</f>
        <v/>
      </c>
      <c r="L26" s="4">
        <f>IF($D26="","",$J26+$K26)</f>
        <v/>
      </c>
      <c r="M26" s="4">
        <f>IF($D26="","",$C26-$L26)</f>
        <v/>
      </c>
    </row>
    <row r="27">
      <c r="C27" s="4" t="n"/>
      <c r="D27" s="5" t="n"/>
      <c r="F27" s="4" t="n"/>
      <c r="G27" s="4">
        <f>IF($E27=0,0,($C27-$F27)/$E27)</f>
        <v/>
      </c>
      <c r="H27" s="6">
        <f>IF($D27="","",(360-((MONTH($D27)-1)*30+(DAY($D27)-1)))/360)</f>
        <v/>
      </c>
      <c r="I27">
        <f>IF($D27="","",YEAR($D27))</f>
        <v/>
      </c>
      <c r="J27" s="4">
        <f>IF($D27="","",ROUND($G27*MIN($E27,MAX(0,(($C$1-1)-$I27)+$H27)),2))</f>
        <v/>
      </c>
      <c r="K27" s="4">
        <f>IF($D27="","",ROUND($G27*MIN($E27,MAX(0,($C$1-$I27)+$H27)),2)-$J27)</f>
        <v/>
      </c>
      <c r="L27" s="4">
        <f>IF($D27="","",$J27+$K27)</f>
        <v/>
      </c>
      <c r="M27" s="4">
        <f>IF($D27="","",$C27-$L27)</f>
        <v/>
      </c>
    </row>
    <row r="28">
      <c r="C28" s="4" t="n"/>
      <c r="D28" s="5" t="n"/>
      <c r="F28" s="4" t="n"/>
      <c r="G28" s="4">
        <f>IF($E28=0,0,($C28-$F28)/$E28)</f>
        <v/>
      </c>
      <c r="H28" s="6">
        <f>IF($D28="","",(360-((MONTH($D28)-1)*30+(DAY($D28)-1)))/360)</f>
        <v/>
      </c>
      <c r="I28">
        <f>IF($D28="","",YEAR($D28))</f>
        <v/>
      </c>
      <c r="J28" s="4">
        <f>IF($D28="","",ROUND($G28*MIN($E28,MAX(0,(($C$1-1)-$I28)+$H28)),2))</f>
        <v/>
      </c>
      <c r="K28" s="4">
        <f>IF($D28="","",ROUND($G28*MIN($E28,MAX(0,($C$1-$I28)+$H28)),2)-$J28)</f>
        <v/>
      </c>
      <c r="L28" s="4">
        <f>IF($D28="","",$J28+$K28)</f>
        <v/>
      </c>
      <c r="M28" s="4">
        <f>IF($D28="","",$C28-$L28)</f>
        <v/>
      </c>
    </row>
    <row r="29">
      <c r="C29" s="4" t="n"/>
      <c r="D29" s="5" t="n"/>
      <c r="F29" s="4" t="n"/>
      <c r="G29" s="4">
        <f>IF($E29=0,0,($C29-$F29)/$E29)</f>
        <v/>
      </c>
      <c r="H29" s="6">
        <f>IF($D29="","",(360-((MONTH($D29)-1)*30+(DAY($D29)-1)))/360)</f>
        <v/>
      </c>
      <c r="I29">
        <f>IF($D29="","",YEAR($D29))</f>
        <v/>
      </c>
      <c r="J29" s="4">
        <f>IF($D29="","",ROUND($G29*MIN($E29,MAX(0,(($C$1-1)-$I29)+$H29)),2))</f>
        <v/>
      </c>
      <c r="K29" s="4">
        <f>IF($D29="","",ROUND($G29*MIN($E29,MAX(0,($C$1-$I29)+$H29)),2)-$J29)</f>
        <v/>
      </c>
      <c r="L29" s="4">
        <f>IF($D29="","",$J29+$K29)</f>
        <v/>
      </c>
      <c r="M29" s="4">
        <f>IF($D29="","",$C29-$L29)</f>
        <v/>
      </c>
    </row>
    <row r="30">
      <c r="C30" s="4" t="n"/>
      <c r="D30" s="5" t="n"/>
      <c r="F30" s="4" t="n"/>
      <c r="G30" s="4">
        <f>IF($E30=0,0,($C30-$F30)/$E30)</f>
        <v/>
      </c>
      <c r="H30" s="6">
        <f>IF($D30="","",(360-((MONTH($D30)-1)*30+(DAY($D30)-1)))/360)</f>
        <v/>
      </c>
      <c r="I30">
        <f>IF($D30="","",YEAR($D30))</f>
        <v/>
      </c>
      <c r="J30" s="4">
        <f>IF($D30="","",ROUND($G30*MIN($E30,MAX(0,(($C$1-1)-$I30)+$H30)),2))</f>
        <v/>
      </c>
      <c r="K30" s="4">
        <f>IF($D30="","",ROUND($G30*MIN($E30,MAX(0,($C$1-$I30)+$H30)),2)-$J30)</f>
        <v/>
      </c>
      <c r="L30" s="4">
        <f>IF($D30="","",$J30+$K30)</f>
        <v/>
      </c>
      <c r="M30" s="4">
        <f>IF($D30="","",$C30-$L30)</f>
        <v/>
      </c>
    </row>
    <row r="31">
      <c r="C31" s="4" t="n"/>
      <c r="D31" s="5" t="n"/>
      <c r="F31" s="4" t="n"/>
      <c r="G31" s="4">
        <f>IF($E31=0,0,($C31-$F31)/$E31)</f>
        <v/>
      </c>
      <c r="H31" s="6">
        <f>IF($D31="","",(360-((MONTH($D31)-1)*30+(DAY($D31)-1)))/360)</f>
        <v/>
      </c>
      <c r="I31">
        <f>IF($D31="","",YEAR($D31))</f>
        <v/>
      </c>
      <c r="J31" s="4">
        <f>IF($D31="","",ROUND($G31*MIN($E31,MAX(0,(($C$1-1)-$I31)+$H31)),2))</f>
        <v/>
      </c>
      <c r="K31" s="4">
        <f>IF($D31="","",ROUND($G31*MIN($E31,MAX(0,($C$1-$I31)+$H31)),2)-$J31)</f>
        <v/>
      </c>
      <c r="L31" s="4">
        <f>IF($D31="","",$J31+$K31)</f>
        <v/>
      </c>
      <c r="M31" s="4">
        <f>IF($D31="","",$C31-$L31)</f>
        <v/>
      </c>
    </row>
    <row r="32">
      <c r="C32" s="4" t="n"/>
      <c r="D32" s="5" t="n"/>
      <c r="F32" s="4" t="n"/>
      <c r="G32" s="4">
        <f>IF($E32=0,0,($C32-$F32)/$E32)</f>
        <v/>
      </c>
      <c r="H32" s="6">
        <f>IF($D32="","",(360-((MONTH($D32)-1)*30+(DAY($D32)-1)))/360)</f>
        <v/>
      </c>
      <c r="I32">
        <f>IF($D32="","",YEAR($D32))</f>
        <v/>
      </c>
      <c r="J32" s="4">
        <f>IF($D32="","",ROUND($G32*MIN($E32,MAX(0,(($C$1-1)-$I32)+$H32)),2))</f>
        <v/>
      </c>
      <c r="K32" s="4">
        <f>IF($D32="","",ROUND($G32*MIN($E32,MAX(0,($C$1-$I32)+$H32)),2)-$J32)</f>
        <v/>
      </c>
      <c r="L32" s="4">
        <f>IF($D32="","",$J32+$K32)</f>
        <v/>
      </c>
      <c r="M32" s="4">
        <f>IF($D32="","",$C32-$L32)</f>
        <v/>
      </c>
    </row>
    <row r="33">
      <c r="C33" s="4" t="n"/>
      <c r="D33" s="5" t="n"/>
      <c r="F33" s="4" t="n"/>
      <c r="G33" s="4">
        <f>IF($E33=0,0,($C33-$F33)/$E33)</f>
        <v/>
      </c>
      <c r="H33" s="6">
        <f>IF($D33="","",(360-((MONTH($D33)-1)*30+(DAY($D33)-1)))/360)</f>
        <v/>
      </c>
      <c r="I33">
        <f>IF($D33="","",YEAR($D33))</f>
        <v/>
      </c>
      <c r="J33" s="4">
        <f>IF($D33="","",ROUND($G33*MIN($E33,MAX(0,(($C$1-1)-$I33)+$H33)),2))</f>
        <v/>
      </c>
      <c r="K33" s="4">
        <f>IF($D33="","",ROUND($G33*MIN($E33,MAX(0,($C$1-$I33)+$H33)),2)-$J33)</f>
        <v/>
      </c>
      <c r="L33" s="4">
        <f>IF($D33="","",$J33+$K33)</f>
        <v/>
      </c>
      <c r="M33" s="4">
        <f>IF($D33="","",$C33-$L33)</f>
        <v/>
      </c>
    </row>
    <row r="34">
      <c r="C34" s="4" t="n"/>
      <c r="D34" s="5" t="n"/>
      <c r="F34" s="4" t="n"/>
      <c r="G34" s="4">
        <f>IF($E34=0,0,($C34-$F34)/$E34)</f>
        <v/>
      </c>
      <c r="H34" s="6">
        <f>IF($D34="","",(360-((MONTH($D34)-1)*30+(DAY($D34)-1)))/360)</f>
        <v/>
      </c>
      <c r="I34">
        <f>IF($D34="","",YEAR($D34))</f>
        <v/>
      </c>
      <c r="J34" s="4">
        <f>IF($D34="","",ROUND($G34*MIN($E34,MAX(0,(($C$1-1)-$I34)+$H34)),2))</f>
        <v/>
      </c>
      <c r="K34" s="4">
        <f>IF($D34="","",ROUND($G34*MIN($E34,MAX(0,($C$1-$I34)+$H34)),2)-$J34)</f>
        <v/>
      </c>
      <c r="L34" s="4">
        <f>IF($D34="","",$J34+$K34)</f>
        <v/>
      </c>
      <c r="M34" s="4">
        <f>IF($D34="","",$C34-$L34)</f>
        <v/>
      </c>
    </row>
    <row r="35">
      <c r="C35" s="4" t="n"/>
      <c r="D35" s="5" t="n"/>
      <c r="F35" s="4" t="n"/>
      <c r="G35" s="4">
        <f>IF($E35=0,0,($C35-$F35)/$E35)</f>
        <v/>
      </c>
      <c r="H35" s="6">
        <f>IF($D35="","",(360-((MONTH($D35)-1)*30+(DAY($D35)-1)))/360)</f>
        <v/>
      </c>
      <c r="I35">
        <f>IF($D35="","",YEAR($D35))</f>
        <v/>
      </c>
      <c r="J35" s="4">
        <f>IF($D35="","",ROUND($G35*MIN($E35,MAX(0,(($C$1-1)-$I35)+$H35)),2))</f>
        <v/>
      </c>
      <c r="K35" s="4">
        <f>IF($D35="","",ROUND($G35*MIN($E35,MAX(0,($C$1-$I35)+$H35)),2)-$J35)</f>
        <v/>
      </c>
      <c r="L35" s="4">
        <f>IF($D35="","",$J35+$K35)</f>
        <v/>
      </c>
      <c r="M35" s="4">
        <f>IF($D35="","",$C35-$L35)</f>
        <v/>
      </c>
    </row>
    <row r="36">
      <c r="C36" s="4" t="n"/>
      <c r="D36" s="5" t="n"/>
      <c r="F36" s="4" t="n"/>
      <c r="G36" s="4">
        <f>IF($E36=0,0,($C36-$F36)/$E36)</f>
        <v/>
      </c>
      <c r="H36" s="6">
        <f>IF($D36="","",(360-((MONTH($D36)-1)*30+(DAY($D36)-1)))/360)</f>
        <v/>
      </c>
      <c r="I36">
        <f>IF($D36="","",YEAR($D36))</f>
        <v/>
      </c>
      <c r="J36" s="4">
        <f>IF($D36="","",ROUND($G36*MIN($E36,MAX(0,(($C$1-1)-$I36)+$H36)),2))</f>
        <v/>
      </c>
      <c r="K36" s="4">
        <f>IF($D36="","",ROUND($G36*MIN($E36,MAX(0,($C$1-$I36)+$H36)),2)-$J36)</f>
        <v/>
      </c>
      <c r="L36" s="4">
        <f>IF($D36="","",$J36+$K36)</f>
        <v/>
      </c>
      <c r="M36" s="4">
        <f>IF($D36="","",$C36-$L36)</f>
        <v/>
      </c>
    </row>
    <row r="37">
      <c r="C37" s="4" t="n"/>
      <c r="D37" s="5" t="n"/>
      <c r="F37" s="4" t="n"/>
      <c r="G37" s="4">
        <f>IF($E37=0,0,($C37-$F37)/$E37)</f>
        <v/>
      </c>
      <c r="H37" s="6">
        <f>IF($D37="","",(360-((MONTH($D37)-1)*30+(DAY($D37)-1)))/360)</f>
        <v/>
      </c>
      <c r="I37">
        <f>IF($D37="","",YEAR($D37))</f>
        <v/>
      </c>
      <c r="J37" s="4">
        <f>IF($D37="","",ROUND($G37*MIN($E37,MAX(0,(($C$1-1)-$I37)+$H37)),2))</f>
        <v/>
      </c>
      <c r="K37" s="4">
        <f>IF($D37="","",ROUND($G37*MIN($E37,MAX(0,($C$1-$I37)+$H37)),2)-$J37)</f>
        <v/>
      </c>
      <c r="L37" s="4">
        <f>IF($D37="","",$J37+$K37)</f>
        <v/>
      </c>
      <c r="M37" s="4">
        <f>IF($D37="","",$C37-$L37)</f>
        <v/>
      </c>
    </row>
    <row r="38">
      <c r="C38" s="4" t="n"/>
      <c r="D38" s="5" t="n"/>
      <c r="F38" s="4" t="n"/>
      <c r="G38" s="4">
        <f>IF($E38=0,0,($C38-$F38)/$E38)</f>
        <v/>
      </c>
      <c r="H38" s="6">
        <f>IF($D38="","",(360-((MONTH($D38)-1)*30+(DAY($D38)-1)))/360)</f>
        <v/>
      </c>
      <c r="I38">
        <f>IF($D38="","",YEAR($D38))</f>
        <v/>
      </c>
      <c r="J38" s="4">
        <f>IF($D38="","",ROUND($G38*MIN($E38,MAX(0,(($C$1-1)-$I38)+$H38)),2))</f>
        <v/>
      </c>
      <c r="K38" s="4">
        <f>IF($D38="","",ROUND($G38*MIN($E38,MAX(0,($C$1-$I38)+$H38)),2)-$J38)</f>
        <v/>
      </c>
      <c r="L38" s="4">
        <f>IF($D38="","",$J38+$K38)</f>
        <v/>
      </c>
      <c r="M38" s="4">
        <f>IF($D38="","",$C38-$L38)</f>
        <v/>
      </c>
    </row>
    <row r="39">
      <c r="C39" s="4" t="n"/>
      <c r="D39" s="5" t="n"/>
      <c r="F39" s="4" t="n"/>
      <c r="G39" s="4">
        <f>IF($E39=0,0,($C39-$F39)/$E39)</f>
        <v/>
      </c>
      <c r="H39" s="6">
        <f>IF($D39="","",(360-((MONTH($D39)-1)*30+(DAY($D39)-1)))/360)</f>
        <v/>
      </c>
      <c r="I39">
        <f>IF($D39="","",YEAR($D39))</f>
        <v/>
      </c>
      <c r="J39" s="4">
        <f>IF($D39="","",ROUND($G39*MIN($E39,MAX(0,(($C$1-1)-$I39)+$H39)),2))</f>
        <v/>
      </c>
      <c r="K39" s="4">
        <f>IF($D39="","",ROUND($G39*MIN($E39,MAX(0,($C$1-$I39)+$H39)),2)-$J39)</f>
        <v/>
      </c>
      <c r="L39" s="4">
        <f>IF($D39="","",$J39+$K39)</f>
        <v/>
      </c>
      <c r="M39" s="4">
        <f>IF($D39="","",$C39-$L39)</f>
        <v/>
      </c>
    </row>
    <row r="40">
      <c r="C40" s="4" t="n"/>
      <c r="D40" s="5" t="n"/>
      <c r="F40" s="4" t="n"/>
      <c r="G40" s="4">
        <f>IF($E40=0,0,($C40-$F40)/$E40)</f>
        <v/>
      </c>
      <c r="H40" s="6">
        <f>IF($D40="","",(360-((MONTH($D40)-1)*30+(DAY($D40)-1)))/360)</f>
        <v/>
      </c>
      <c r="I40">
        <f>IF($D40="","",YEAR($D40))</f>
        <v/>
      </c>
      <c r="J40" s="4">
        <f>IF($D40="","",ROUND($G40*MIN($E40,MAX(0,(($C$1-1)-$I40)+$H40)),2))</f>
        <v/>
      </c>
      <c r="K40" s="4">
        <f>IF($D40="","",ROUND($G40*MIN($E40,MAX(0,($C$1-$I40)+$H40)),2)-$J40)</f>
        <v/>
      </c>
      <c r="L40" s="4">
        <f>IF($D40="","",$J40+$K40)</f>
        <v/>
      </c>
      <c r="M40" s="4">
        <f>IF($D40="","",$C40-$L40)</f>
        <v/>
      </c>
    </row>
    <row r="41">
      <c r="C41" s="4" t="n"/>
      <c r="D41" s="5" t="n"/>
      <c r="F41" s="4" t="n"/>
      <c r="G41" s="4">
        <f>IF($E41=0,0,($C41-$F41)/$E41)</f>
        <v/>
      </c>
      <c r="H41" s="6">
        <f>IF($D41="","",(360-((MONTH($D41)-1)*30+(DAY($D41)-1)))/360)</f>
        <v/>
      </c>
      <c r="I41">
        <f>IF($D41="","",YEAR($D41))</f>
        <v/>
      </c>
      <c r="J41" s="4">
        <f>IF($D41="","",ROUND($G41*MIN($E41,MAX(0,(($C$1-1)-$I41)+$H41)),2))</f>
        <v/>
      </c>
      <c r="K41" s="4">
        <f>IF($D41="","",ROUND($G41*MIN($E41,MAX(0,($C$1-$I41)+$H41)),2)-$J41)</f>
        <v/>
      </c>
      <c r="L41" s="4">
        <f>IF($D41="","",$J41+$K41)</f>
        <v/>
      </c>
      <c r="M41" s="4">
        <f>IF($D41="","",$C41-$L41)</f>
        <v/>
      </c>
    </row>
    <row r="42">
      <c r="C42" s="4" t="n"/>
      <c r="D42" s="5" t="n"/>
      <c r="F42" s="4" t="n"/>
      <c r="G42" s="4">
        <f>IF($E42=0,0,($C42-$F42)/$E42)</f>
        <v/>
      </c>
      <c r="H42" s="6">
        <f>IF($D42="","",(360-((MONTH($D42)-1)*30+(DAY($D42)-1)))/360)</f>
        <v/>
      </c>
      <c r="I42">
        <f>IF($D42="","",YEAR($D42))</f>
        <v/>
      </c>
      <c r="J42" s="4">
        <f>IF($D42="","",ROUND($G42*MIN($E42,MAX(0,(($C$1-1)-$I42)+$H42)),2))</f>
        <v/>
      </c>
      <c r="K42" s="4">
        <f>IF($D42="","",ROUND($G42*MIN($E42,MAX(0,($C$1-$I42)+$H42)),2)-$J42)</f>
        <v/>
      </c>
      <c r="L42" s="4">
        <f>IF($D42="","",$J42+$K42)</f>
        <v/>
      </c>
      <c r="M42" s="4">
        <f>IF($D42="","",$C42-$L42)</f>
        <v/>
      </c>
    </row>
    <row r="43">
      <c r="C43" s="4" t="n"/>
      <c r="D43" s="5" t="n"/>
      <c r="F43" s="4" t="n"/>
      <c r="G43" s="4">
        <f>IF($E43=0,0,($C43-$F43)/$E43)</f>
        <v/>
      </c>
      <c r="H43" s="6">
        <f>IF($D43="","",(360-((MONTH($D43)-1)*30+(DAY($D43)-1)))/360)</f>
        <v/>
      </c>
      <c r="I43">
        <f>IF($D43="","",YEAR($D43))</f>
        <v/>
      </c>
      <c r="J43" s="4">
        <f>IF($D43="","",ROUND($G43*MIN($E43,MAX(0,(($C$1-1)-$I43)+$H43)),2))</f>
        <v/>
      </c>
      <c r="K43" s="4">
        <f>IF($D43="","",ROUND($G43*MIN($E43,MAX(0,($C$1-$I43)+$H43)),2)-$J43)</f>
        <v/>
      </c>
      <c r="L43" s="4">
        <f>IF($D43="","",$J43+$K43)</f>
        <v/>
      </c>
      <c r="M43" s="4">
        <f>IF($D43="","",$C43-$L43)</f>
        <v/>
      </c>
    </row>
    <row r="45">
      <c r="B45" s="7" t="inlineStr">
        <is>
          <t>TOTAL</t>
        </is>
      </c>
      <c r="C45" s="8">
        <f>SUM(C4:C43)</f>
        <v/>
      </c>
      <c r="K45" s="8">
        <f>SUM(K4:K43)</f>
        <v/>
      </c>
      <c r="L45" s="8">
        <f>SUM(L4:L43)</f>
        <v/>
      </c>
      <c r="M45" s="8">
        <f>SUM(M4:M43)</f>
        <v/>
      </c>
    </row>
    <row r="47">
      <c r="A47" s="7" t="inlineStr">
        <is>
          <t>Note 3C — par catégorie (saisir la catégorie) :</t>
        </is>
      </c>
    </row>
    <row r="48">
      <c r="A48" s="3" t="inlineStr">
        <is>
          <t>Catégorie</t>
        </is>
      </c>
      <c r="B48" s="3" t="inlineStr">
        <is>
          <t>Brut</t>
        </is>
      </c>
      <c r="C48" s="3" t="inlineStr">
        <is>
          <t>Amort. (Cumul N)</t>
        </is>
      </c>
      <c r="D48" s="3" t="inlineStr">
        <is>
          <t>VNC N</t>
        </is>
      </c>
      <c r="E48" s="3" t="inlineStr">
        <is>
          <t>Dotation N</t>
        </is>
      </c>
    </row>
    <row r="49">
      <c r="A49" t="inlineStr">
        <is>
          <t>Matériel de transport</t>
        </is>
      </c>
      <c r="B49" s="4">
        <f>IF(A49="","",SUMIF($B$4:$B$43,A49,$C$4:$C$43))</f>
        <v/>
      </c>
      <c r="C49" s="4">
        <f>IF(A49="","",SUMIF($B$4:$B$43,A49,$L$4:$L$43))</f>
        <v/>
      </c>
      <c r="D49" s="4">
        <f>IF(A49="","",SUMIF($B$4:$B$43,A49,$M$4:$M$43))</f>
        <v/>
      </c>
      <c r="E49" s="4">
        <f>IF(A49="","",SUMIF($B$4:$B$43,A49,$K$4:$K$43))</f>
        <v/>
      </c>
    </row>
    <row r="50">
      <c r="A50" t="inlineStr">
        <is>
          <t>Matériel et outillage</t>
        </is>
      </c>
      <c r="B50" s="4">
        <f>IF(A50="","",SUMIF($B$4:$B$43,A50,$C$4:$C$43))</f>
        <v/>
      </c>
      <c r="C50" s="4">
        <f>IF(A50="","",SUMIF($B$4:$B$43,A50,$L$4:$L$43))</f>
        <v/>
      </c>
      <c r="D50" s="4">
        <f>IF(A50="","",SUMIF($B$4:$B$43,A50,$M$4:$M$43))</f>
        <v/>
      </c>
      <c r="E50" s="4">
        <f>IF(A50="","",SUMIF($B$4:$B$43,A50,$K$4:$K$43))</f>
        <v/>
      </c>
    </row>
    <row r="51">
      <c r="B51" s="4">
        <f>IF(A51="","",SUMIF($B$4:$B$43,A51,$C$4:$C$43))</f>
        <v/>
      </c>
      <c r="C51" s="4">
        <f>IF(A51="","",SUMIF($B$4:$B$43,A51,$L$4:$L$43))</f>
        <v/>
      </c>
      <c r="D51" s="4">
        <f>IF(A51="","",SUMIF($B$4:$B$43,A51,$M$4:$M$43))</f>
        <v/>
      </c>
      <c r="E51" s="4">
        <f>IF(A51="","",SUMIF($B$4:$B$43,A51,$K$4:$K$43))</f>
        <v/>
      </c>
    </row>
    <row r="52">
      <c r="B52" s="4">
        <f>IF(A52="","",SUMIF($B$4:$B$43,A52,$C$4:$C$43))</f>
        <v/>
      </c>
      <c r="C52" s="4">
        <f>IF(A52="","",SUMIF($B$4:$B$43,A52,$L$4:$L$43))</f>
        <v/>
      </c>
      <c r="D52" s="4">
        <f>IF(A52="","",SUMIF($B$4:$B$43,A52,$M$4:$M$43))</f>
        <v/>
      </c>
      <c r="E52" s="4">
        <f>IF(A52="","",SUMIF($B$4:$B$43,A52,$K$4:$K$43))</f>
        <v/>
      </c>
    </row>
    <row r="53">
      <c r="B53" s="4">
        <f>IF(A53="","",SUMIF($B$4:$B$43,A53,$C$4:$C$43))</f>
        <v/>
      </c>
      <c r="C53" s="4">
        <f>IF(A53="","",SUMIF($B$4:$B$43,A53,$L$4:$L$43))</f>
        <v/>
      </c>
      <c r="D53" s="4">
        <f>IF(A53="","",SUMIF($B$4:$B$43,A53,$M$4:$M$43))</f>
        <v/>
      </c>
      <c r="E53" s="4">
        <f>IF(A53="","",SUMIF($B$4:$B$43,A53,$K$4:$K$43))</f>
        <v/>
      </c>
    </row>
    <row r="54">
      <c r="B54" s="4">
        <f>IF(A54="","",SUMIF($B$4:$B$43,A54,$C$4:$C$43))</f>
        <v/>
      </c>
      <c r="C54" s="4">
        <f>IF(A54="","",SUMIF($B$4:$B$43,A54,$L$4:$L$43))</f>
        <v/>
      </c>
      <c r="D54" s="4">
        <f>IF(A54="","",SUMIF($B$4:$B$43,A54,$M$4:$M$43))</f>
        <v/>
      </c>
      <c r="E54" s="4">
        <f>IF(A54="","",SUMIF($B$4:$B$43,A54,$K$4:$K$43))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