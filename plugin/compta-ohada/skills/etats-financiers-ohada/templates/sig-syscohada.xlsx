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es" sheetId="1" state="visible" r:id="rId1"/>
    <sheet name="S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</font>
    <font>
      <i val="1"/>
      <color rgb="00808080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>
      <c r="A1" s="1" t="inlineStr">
        <is>
          <t>ENTRÉES — Compte de résultat par nature (anonymisé)</t>
        </is>
      </c>
    </row>
    <row r="3">
      <c r="A3" s="2" t="inlineStr">
        <is>
          <t>Chiffre d'affaires (70)</t>
        </is>
      </c>
      <c r="B3" s="3" t="n">
        <v>2400</v>
      </c>
    </row>
    <row r="4">
      <c r="A4" s="2" t="inlineStr">
        <is>
          <t>Marge commerciale (si négoce)</t>
        </is>
      </c>
      <c r="B4" s="3" t="n">
        <v>0</v>
      </c>
    </row>
    <row r="5">
      <c r="A5" s="2" t="inlineStr">
        <is>
          <t>Production de l'exercice (705/706/73/72)</t>
        </is>
      </c>
      <c r="B5" s="3" t="n">
        <v>2400</v>
      </c>
    </row>
    <row r="6">
      <c r="A6" s="2" t="inlineStr">
        <is>
          <t>Consommations intermédiaires (60/61/62/63)</t>
        </is>
      </c>
      <c r="B6" s="3" t="n">
        <v>1700</v>
      </c>
    </row>
    <row r="7">
      <c r="A7" s="2" t="inlineStr">
        <is>
          <t>Impôts et taxes (64)</t>
        </is>
      </c>
      <c r="B7" s="3" t="n">
        <v>0</v>
      </c>
    </row>
    <row r="8">
      <c r="A8" s="2" t="inlineStr">
        <is>
          <t>Charges de personnel (66)</t>
        </is>
      </c>
      <c r="B8" s="3" t="n">
        <v>400</v>
      </c>
    </row>
    <row r="9">
      <c r="A9" s="2" t="inlineStr">
        <is>
          <t>Autres produits d'exploitation (71/75/78/79)</t>
        </is>
      </c>
      <c r="B9" s="3" t="n">
        <v>0</v>
      </c>
    </row>
    <row r="10">
      <c r="A10" s="2" t="inlineStr">
        <is>
          <t>Autres charges d'exploitation (65/68)</t>
        </is>
      </c>
      <c r="B10" s="3" t="n">
        <v>0</v>
      </c>
    </row>
    <row r="11">
      <c r="A11" s="2" t="inlineStr">
        <is>
          <t>Produits financiers (77)</t>
        </is>
      </c>
      <c r="B11" s="3" t="n">
        <v>0</v>
      </c>
    </row>
    <row r="12">
      <c r="A12" s="2" t="inlineStr">
        <is>
          <t>Charges financières (67)</t>
        </is>
      </c>
      <c r="B12" s="3" t="n">
        <v>0</v>
      </c>
    </row>
    <row r="13">
      <c r="A13" s="2" t="inlineStr">
        <is>
          <t>Produits HAO (82/84/86/88)</t>
        </is>
      </c>
      <c r="B13" s="3" t="n">
        <v>0</v>
      </c>
    </row>
    <row r="14">
      <c r="A14" s="2" t="inlineStr">
        <is>
          <t>Charges HAO (81/83/85)</t>
        </is>
      </c>
      <c r="B14" s="3" t="n">
        <v>0</v>
      </c>
    </row>
    <row r="15">
      <c r="A15" s="2" t="inlineStr">
        <is>
          <t>Impôts sur le résultat (89)</t>
        </is>
      </c>
      <c r="B15" s="3" t="n">
        <v>0</v>
      </c>
    </row>
    <row r="17">
      <c r="A17" s="4" t="inlineStr">
        <is>
          <t>Valeurs d'exemple — à remplacer par vos agrégats.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</cols>
  <sheetData>
    <row r="1">
      <c r="A1" s="1" t="inlineStr">
        <is>
          <t>SOLDES INTERMÉDIAIRES DE GESTION (SYSCOHADA révisé)</t>
        </is>
      </c>
    </row>
    <row r="3">
      <c r="A3" s="5" t="inlineStr">
        <is>
          <t>Solde</t>
        </is>
      </c>
      <c r="B3" s="5" t="inlineStr">
        <is>
          <t>Montant</t>
        </is>
      </c>
      <c r="C3" s="5" t="inlineStr">
        <is>
          <t>% du CA</t>
        </is>
      </c>
    </row>
    <row r="4">
      <c r="A4" s="2" t="inlineStr">
        <is>
          <t>Marge commerciale</t>
        </is>
      </c>
      <c r="B4" s="3">
        <f>Entrees!$B$4</f>
        <v/>
      </c>
      <c r="C4" s="6">
        <f>IF(Entrees!$B$3=0,"",B4/Entrees!$B$3)</f>
        <v/>
      </c>
    </row>
    <row r="5">
      <c r="A5" s="2" t="inlineStr">
        <is>
          <t>Valeur ajoutée</t>
        </is>
      </c>
      <c r="B5" s="3">
        <f>Entrees!$B$4+Entrees!$B$5-Entrees!$B$6</f>
        <v/>
      </c>
      <c r="C5" s="6">
        <f>IF(Entrees!$B$3=0,"",B5/Entrees!$B$3)</f>
        <v/>
      </c>
    </row>
    <row r="6">
      <c r="A6" s="2" t="inlineStr">
        <is>
          <t>Excédent brut d'exploitation (EBE)</t>
        </is>
      </c>
      <c r="B6" s="3">
        <f>B5-Entrees!$B$7-Entrees!$B$8</f>
        <v/>
      </c>
      <c r="C6" s="6">
        <f>IF(Entrees!$B$3=0,"",B6/Entrees!$B$3)</f>
        <v/>
      </c>
    </row>
    <row r="7">
      <c r="A7" s="2" t="inlineStr">
        <is>
          <t>Résultat d'exploitation</t>
        </is>
      </c>
      <c r="B7" s="3">
        <f>B6+Entrees!$B$9-Entrees!$B$10</f>
        <v/>
      </c>
      <c r="C7" s="6">
        <f>IF(Entrees!$B$3=0,"",B7/Entrees!$B$3)</f>
        <v/>
      </c>
    </row>
    <row r="8">
      <c r="A8" s="2" t="inlineStr">
        <is>
          <t>Résultat financier</t>
        </is>
      </c>
      <c r="B8" s="3">
        <f>Entrees!$B$11-Entrees!$B$12</f>
        <v/>
      </c>
      <c r="C8" s="6">
        <f>IF(Entrees!$B$3=0,"",B8/Entrees!$B$3)</f>
        <v/>
      </c>
    </row>
    <row r="9">
      <c r="A9" s="2" t="inlineStr">
        <is>
          <t>Résultat des activités ordinaires (RAO)</t>
        </is>
      </c>
      <c r="B9" s="3">
        <f>B7+B8</f>
        <v/>
      </c>
      <c r="C9" s="6">
        <f>IF(Entrees!$B$3=0,"",B9/Entrees!$B$3)</f>
        <v/>
      </c>
    </row>
    <row r="10">
      <c r="A10" s="2" t="inlineStr">
        <is>
          <t>Résultat HAO</t>
        </is>
      </c>
      <c r="B10" s="3">
        <f>Entrees!$B$13-Entrees!$B$14</f>
        <v/>
      </c>
      <c r="C10" s="6">
        <f>IF(Entrees!$B$3=0,"",B10/Entrees!$B$3)</f>
        <v/>
      </c>
    </row>
    <row r="11">
      <c r="A11" s="2" t="inlineStr">
        <is>
          <t>Résultat net</t>
        </is>
      </c>
      <c r="B11" s="3">
        <f>B9+B10-Entrees!$B$15</f>
        <v/>
      </c>
      <c r="C11" s="6">
        <f>IF(Entrees!$B$3=0,"",B11/Entrees!$B$3)</f>
        <v/>
      </c>
    </row>
    <row r="13">
      <c r="A13" s="4" t="inlineStr">
        <is>
          <t>Contrôle : Résultat net doit égaler le résultat du bilan.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2026-09-30T16:51:38Z</dcterms:created>
  <dcterms:modified xsi:type="dcterms:W3CDTF">2026-09-30T16:51:38Z</dcterms:modified>
</cp:coreProperties>
</file>