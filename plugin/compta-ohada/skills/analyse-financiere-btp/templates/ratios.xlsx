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es" sheetId="1" state="visible" r:id="rId1"/>
    <sheet name="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i val="1"/>
      <color rgb="0080808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ENTRÉES — Agrégats (anonymisés)</t>
        </is>
      </c>
    </row>
    <row r="3">
      <c r="A3" s="2" t="inlineStr">
        <is>
          <t>Actif circulant</t>
        </is>
      </c>
      <c r="B3" s="3" t="n">
        <v>900</v>
      </c>
    </row>
    <row r="4">
      <c r="A4" s="2" t="inlineStr">
        <is>
          <t>Stocks</t>
        </is>
      </c>
      <c r="B4" s="3" t="n">
        <v>200</v>
      </c>
    </row>
    <row r="5">
      <c r="A5" s="2" t="inlineStr">
        <is>
          <t>Créances</t>
        </is>
      </c>
      <c r="B5" s="3" t="n">
        <v>400</v>
      </c>
    </row>
    <row r="6">
      <c r="A6" s="2" t="inlineStr">
        <is>
          <t>Trésorerie actif</t>
        </is>
      </c>
      <c r="B6" s="3" t="n">
        <v>100</v>
      </c>
    </row>
    <row r="7">
      <c r="A7" s="2" t="inlineStr">
        <is>
          <t>Passif circulant</t>
        </is>
      </c>
      <c r="B7" s="3" t="n">
        <v>600</v>
      </c>
    </row>
    <row r="8">
      <c r="A8" s="2" t="inlineStr">
        <is>
          <t>Capitaux propres</t>
        </is>
      </c>
      <c r="B8" s="3" t="n">
        <v>1200</v>
      </c>
    </row>
    <row r="9">
      <c r="A9" s="2" t="inlineStr">
        <is>
          <t>Total passif</t>
        </is>
      </c>
      <c r="B9" s="3" t="n">
        <v>3000</v>
      </c>
    </row>
    <row r="10">
      <c r="A10" s="2" t="inlineStr">
        <is>
          <t>Dettes financières</t>
        </is>
      </c>
      <c r="B10" s="3" t="n">
        <v>800</v>
      </c>
    </row>
    <row r="11">
      <c r="A11" s="2" t="inlineStr">
        <is>
          <t>Chiffre d'affaires HT</t>
        </is>
      </c>
      <c r="B11" s="3" t="n">
        <v>2400</v>
      </c>
    </row>
    <row r="12">
      <c r="A12" s="2" t="inlineStr">
        <is>
          <t>Résultat net</t>
        </is>
      </c>
      <c r="B12" s="3" t="n">
        <v>150</v>
      </c>
    </row>
    <row r="13">
      <c r="A13" s="2" t="inlineStr">
        <is>
          <t>Créances clients TTC</t>
        </is>
      </c>
      <c r="B13" s="3" t="n">
        <v>500</v>
      </c>
    </row>
    <row r="14">
      <c r="A14" s="2" t="inlineStr">
        <is>
          <t>Dettes fournisseurs TTC</t>
        </is>
      </c>
      <c r="B14" s="3" t="n">
        <v>300</v>
      </c>
    </row>
    <row r="15">
      <c r="A15" s="2" t="inlineStr">
        <is>
          <t>Achats</t>
        </is>
      </c>
      <c r="B15" s="3" t="n">
        <v>1400</v>
      </c>
    </row>
    <row r="17">
      <c r="A17" s="4" t="inlineStr">
        <is>
          <t>Valeurs d'exemple — à remplacer.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RATIOS FINANCIERS (OHADA)</t>
        </is>
      </c>
    </row>
    <row r="3">
      <c r="A3" s="5" t="inlineStr">
        <is>
          <t>Ratio</t>
        </is>
      </c>
      <c r="B3" s="5" t="inlineStr">
        <is>
          <t>Valeur</t>
        </is>
      </c>
    </row>
    <row r="4">
      <c r="A4" s="2" t="inlineStr">
        <is>
          <t>Liquidité générale</t>
        </is>
      </c>
      <c r="B4" s="6">
        <f>IF(Entrees!$B$7=0,"n/d",Entrees!$B$3/Entrees!$B$7)</f>
        <v/>
      </c>
    </row>
    <row r="5">
      <c r="A5" s="2" t="inlineStr">
        <is>
          <t>Liquidité réduite</t>
        </is>
      </c>
      <c r="B5" s="6">
        <f>IF(Entrees!$B$7=0,"n/d",(Entrees!$B$3-Entrees!$B$4)/Entrees!$B$7)</f>
        <v/>
      </c>
    </row>
    <row r="6">
      <c r="A6" s="2" t="inlineStr">
        <is>
          <t>Autonomie financière</t>
        </is>
      </c>
      <c r="B6" s="6">
        <f>IF(Entrees!$B$9=0,"n/d",Entrees!$B$8/Entrees!$B$9)</f>
        <v/>
      </c>
    </row>
    <row r="7">
      <c r="A7" s="2" t="inlineStr">
        <is>
          <t>Endettement financier</t>
        </is>
      </c>
      <c r="B7" s="6">
        <f>IF(Entrees!$B$8=0,"n/d",Entrees!$B$10/Entrees!$B$8)</f>
        <v/>
      </c>
    </row>
    <row r="8">
      <c r="A8" s="2" t="inlineStr">
        <is>
          <t>BFR</t>
        </is>
      </c>
      <c r="B8" s="3">
        <f>Entrees!$B$4+Entrees!$B$5-Entrees!$B$7</f>
        <v/>
      </c>
    </row>
    <row r="9">
      <c r="A9" s="2" t="inlineStr">
        <is>
          <t>BFR en jours de CA</t>
        </is>
      </c>
      <c r="B9" s="7">
        <f>IF(Entrees!$B$11=0,"n/d",(Entrees!$B$4+Entrees!$B$5-Entrees!$B$7)*360/Entrees!$B$11)</f>
        <v/>
      </c>
    </row>
    <row r="10">
      <c r="A10" s="2" t="inlineStr">
        <is>
          <t>Délai clients (jours)</t>
        </is>
      </c>
      <c r="B10" s="7">
        <f>IF(Entrees!$B$11=0,"n/d",Entrees!$B$13*360/Entrees!$B$11)</f>
        <v/>
      </c>
    </row>
    <row r="11">
      <c r="A11" s="2" t="inlineStr">
        <is>
          <t>Délai fournisseurs (jours)</t>
        </is>
      </c>
      <c r="B11" s="7">
        <f>IF(Entrees!$B$15=0,"n/d",Entrees!$B$14*360/Entrees!$B$15)</f>
        <v/>
      </c>
    </row>
    <row r="12">
      <c r="A12" s="2" t="inlineStr">
        <is>
          <t>Rentabilité financière</t>
        </is>
      </c>
      <c r="B12" s="8">
        <f>IF(Entrees!$B$8=0,"n/d",Entrees!$B$12/Entrees!$B$8)</f>
        <v/>
      </c>
    </row>
    <row r="14">
      <c r="A14" s="4" t="inlineStr">
        <is>
          <t>Interprétation par le comptable (repères sectoriels à valider).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2026-09-30T16:51:38Z</dcterms:created>
  <dcterms:modified xsi:type="dcterms:W3CDTF">2026-09-30T16:51:38Z</dcterms:modified>
</cp:coreProperties>
</file>