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b val="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SUIVI DES RECOMMANDATIONS D'AUDIT</t>
        </is>
      </c>
    </row>
    <row r="3">
      <c r="A3" s="2" t="inlineStr">
        <is>
          <t>Recommandation</t>
        </is>
      </c>
      <c r="B3" s="2" t="inlineStr">
        <is>
          <t>Criticité</t>
        </is>
      </c>
      <c r="C3" s="2" t="inlineStr">
        <is>
          <t>Responsable</t>
        </is>
      </c>
      <c r="D3" s="2" t="inlineStr">
        <is>
          <t>Échéance</t>
        </is>
      </c>
      <c r="E3" s="2" t="inlineStr">
        <is>
          <t>Statut</t>
        </is>
      </c>
      <c r="F3" s="2" t="inlineStr">
        <is>
          <t>Commentaire</t>
        </is>
      </c>
    </row>
    <row r="35">
      <c r="A35" s="3" t="inlineStr">
        <is>
          <t>Nb recommandations</t>
        </is>
      </c>
      <c r="B35">
        <f>COUNTA(A4:A33)</f>
        <v/>
      </c>
    </row>
    <row r="36">
      <c r="A36" s="3" t="inlineStr">
        <is>
          <t>Nb clôturées</t>
        </is>
      </c>
      <c r="B36">
        <f>COUNTIF(E4:E33,"Clôturée")</f>
        <v/>
      </c>
    </row>
    <row r="37">
      <c r="A37" s="3" t="inlineStr">
        <is>
          <t>Taux de mise en œuvre</t>
        </is>
      </c>
      <c r="B37" s="4">
        <f>IF(B35=0,"",B36/B35)</f>
        <v/>
      </c>
    </row>
    <row r="39">
      <c r="A39" s="5" t="inlineStr">
        <is>
          <t>Statuts suggérés : À faire / En cours / Clôturée.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